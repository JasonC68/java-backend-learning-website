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sonchu/Desktop/"/>
    </mc:Choice>
  </mc:AlternateContent>
  <xr:revisionPtr revIDLastSave="0" documentId="8_{406A8321-4CEE-6F47-9DE5-96F28592D0D5}" xr6:coauthVersionLast="47" xr6:coauthVersionMax="47" xr10:uidLastSave="{00000000-0000-0000-0000-000000000000}"/>
  <bookViews>
    <workbookView xWindow="0" yWindow="660" windowWidth="20600" windowHeight="15740" tabRatio="500" xr2:uid="{00000000-000D-0000-FFFF-FFFF00000000}"/>
  </bookViews>
  <sheets>
    <sheet name="打卡表" sheetId="1" r:id="rId1"/>
    <sheet name="进度统计" sheetId="2" r:id="rId2"/>
    <sheet name="用法说明" sheetId="3" r:id="rId3"/>
  </sheets>
  <definedNames>
    <definedName name="_xlnm._FilterDatabase" localSheetId="0" hidden="1">打卡表!$A$1:$H$133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G3" i="2" s="1"/>
  <c r="D3" i="2"/>
  <c r="C3" i="2"/>
  <c r="B3" i="2"/>
  <c r="F2" i="2"/>
  <c r="E2" i="2"/>
  <c r="D2" i="2"/>
  <c r="C2" i="2"/>
  <c r="B2" i="2"/>
  <c r="G8" i="2" l="1"/>
  <c r="E12" i="2"/>
  <c r="F12" i="2"/>
  <c r="G2" i="2"/>
  <c r="C12" i="2"/>
  <c r="G4" i="2"/>
  <c r="G6" i="2"/>
  <c r="G10" i="2"/>
  <c r="G5" i="2"/>
  <c r="G7" i="2"/>
  <c r="G9" i="2"/>
  <c r="G11" i="2"/>
  <c r="D12" i="2"/>
  <c r="B12" i="2"/>
  <c r="G12" i="2" s="1"/>
</calcChain>
</file>

<file path=xl/sharedStrings.xml><?xml version="1.0" encoding="utf-8"?>
<sst xmlns="http://schemas.openxmlformats.org/spreadsheetml/2006/main" count="574" uniqueCount="191">
  <si>
    <t>板块</t>
  </si>
  <si>
    <t>序号</t>
  </si>
  <si>
    <t>建议日期</t>
  </si>
  <si>
    <t>面试问题</t>
  </si>
  <si>
    <t>掌握程度</t>
  </si>
  <si>
    <t>复习次数</t>
  </si>
  <si>
    <t>上次复习日期</t>
  </si>
  <si>
    <t>备注</t>
  </si>
  <si>
    <t>集合</t>
  </si>
  <si>
    <r>
      <rPr>
        <sz val="11"/>
        <rFont val="Microsoft YaHei"/>
        <family val="2"/>
        <charset val="134"/>
      </rPr>
      <t>06-10 (</t>
    </r>
    <r>
      <rPr>
        <sz val="11"/>
        <rFont val="DejaVu Sans"/>
        <family val="2"/>
      </rPr>
      <t>周三</t>
    </r>
    <r>
      <rPr>
        <sz val="11"/>
        <rFont val="Microsoft YaHei"/>
        <family val="2"/>
        <charset val="134"/>
      </rPr>
      <t>)</t>
    </r>
  </si>
  <si>
    <r>
      <rPr>
        <sz val="11"/>
        <rFont val="Microsoft YaHei"/>
        <family val="2"/>
        <charset val="134"/>
      </rPr>
      <t xml:space="preserve">HashMap </t>
    </r>
    <r>
      <rPr>
        <sz val="11"/>
        <rFont val="DejaVu Sans"/>
        <family val="2"/>
      </rPr>
      <t>实现原理</t>
    </r>
  </si>
  <si>
    <t>未开始</t>
  </si>
  <si>
    <r>
      <rPr>
        <sz val="11"/>
        <rFont val="Microsoft YaHei"/>
        <family val="2"/>
        <charset val="134"/>
      </rPr>
      <t xml:space="preserve">HashMap </t>
    </r>
    <r>
      <rPr>
        <sz val="11"/>
        <rFont val="DejaVu Sans"/>
        <family val="2"/>
      </rPr>
      <t xml:space="preserve">的 </t>
    </r>
    <r>
      <rPr>
        <sz val="11"/>
        <rFont val="Microsoft YaHei"/>
        <family val="2"/>
        <charset val="134"/>
      </rPr>
      <t xml:space="preserve">put / get </t>
    </r>
    <r>
      <rPr>
        <sz val="11"/>
        <rFont val="DejaVu Sans"/>
        <family val="2"/>
      </rPr>
      <t>过程</t>
    </r>
  </si>
  <si>
    <r>
      <rPr>
        <sz val="11"/>
        <rFont val="Microsoft YaHei"/>
        <family val="2"/>
        <charset val="134"/>
      </rPr>
      <t xml:space="preserve">HashMap </t>
    </r>
    <r>
      <rPr>
        <sz val="11"/>
        <rFont val="DejaVu Sans"/>
        <family val="2"/>
      </rPr>
      <t>扩容机制</t>
    </r>
  </si>
  <si>
    <r>
      <rPr>
        <sz val="11"/>
        <rFont val="DejaVu Sans"/>
        <family val="2"/>
      </rPr>
      <t xml:space="preserve">为什么容量是 </t>
    </r>
    <r>
      <rPr>
        <sz val="11"/>
        <rFont val="Microsoft YaHei"/>
        <family val="2"/>
        <charset val="134"/>
      </rPr>
      <t xml:space="preserve">2 </t>
    </r>
    <r>
      <rPr>
        <sz val="11"/>
        <rFont val="DejaVu Sans"/>
        <family val="2"/>
      </rPr>
      <t xml:space="preserve">的 </t>
    </r>
    <r>
      <rPr>
        <sz val="11"/>
        <rFont val="Microsoft YaHei"/>
        <family val="2"/>
        <charset val="134"/>
      </rPr>
      <t xml:space="preserve">n </t>
    </r>
    <r>
      <rPr>
        <sz val="11"/>
        <rFont val="DejaVu Sans"/>
        <family val="2"/>
      </rPr>
      <t xml:space="preserve">次方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负载因子</t>
    </r>
  </si>
  <si>
    <r>
      <rPr>
        <sz val="11"/>
        <rFont val="DejaVu Sans"/>
        <family val="2"/>
      </rPr>
      <t xml:space="preserve">为什么链表转红黑树（而非 </t>
    </r>
    <r>
      <rPr>
        <sz val="11"/>
        <rFont val="Microsoft YaHei"/>
        <family val="2"/>
        <charset val="134"/>
      </rPr>
      <t>AVL</t>
    </r>
    <r>
      <rPr>
        <sz val="11"/>
        <rFont val="DejaVu Sans"/>
        <family val="2"/>
      </rPr>
      <t>）</t>
    </r>
  </si>
  <si>
    <t>哈希冲突的解决方法</t>
  </si>
  <si>
    <r>
      <rPr>
        <sz val="11"/>
        <rFont val="Microsoft YaHei"/>
        <family val="2"/>
        <charset val="134"/>
      </rPr>
      <t xml:space="preserve">HashMap </t>
    </r>
    <r>
      <rPr>
        <sz val="11"/>
        <rFont val="DejaVu Sans"/>
        <family val="2"/>
      </rPr>
      <t xml:space="preserve">线程安全吗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多线程下的问题</t>
    </r>
  </si>
  <si>
    <r>
      <rPr>
        <sz val="11"/>
        <rFont val="DejaVu Sans"/>
        <family val="2"/>
      </rPr>
      <t xml:space="preserve">重写 </t>
    </r>
    <r>
      <rPr>
        <sz val="11"/>
        <rFont val="Microsoft YaHei"/>
        <family val="2"/>
        <charset val="134"/>
      </rPr>
      <t xml:space="preserve">equals / hashCode </t>
    </r>
    <r>
      <rPr>
        <sz val="11"/>
        <rFont val="DejaVu Sans"/>
        <family val="2"/>
      </rPr>
      <t>的注意点</t>
    </r>
  </si>
  <si>
    <r>
      <rPr>
        <sz val="11"/>
        <rFont val="Microsoft YaHei"/>
        <family val="2"/>
        <charset val="134"/>
      </rPr>
      <t xml:space="preserve">HashMap </t>
    </r>
    <r>
      <rPr>
        <sz val="11"/>
        <rFont val="DejaVu Sans"/>
        <family val="2"/>
      </rPr>
      <t xml:space="preserve">用什么做 </t>
    </r>
    <r>
      <rPr>
        <sz val="11"/>
        <rFont val="Microsoft YaHei"/>
        <family val="2"/>
        <charset val="134"/>
      </rPr>
      <t xml:space="preserve">Key / </t>
    </r>
    <r>
      <rPr>
        <sz val="11"/>
        <rFont val="DejaVu Sans"/>
        <family val="2"/>
      </rPr>
      <t xml:space="preserve">为什么 </t>
    </r>
    <r>
      <rPr>
        <sz val="11"/>
        <rFont val="Microsoft YaHei"/>
        <family val="2"/>
        <charset val="134"/>
      </rPr>
      <t xml:space="preserve">String </t>
    </r>
    <r>
      <rPr>
        <sz val="11"/>
        <rFont val="DejaVu Sans"/>
        <family val="2"/>
      </rPr>
      <t>合适</t>
    </r>
  </si>
  <si>
    <t>HashMap vs Hashtable vs ConcurrentHashMap</t>
  </si>
  <si>
    <r>
      <rPr>
        <sz val="11"/>
        <rFont val="Microsoft YaHei"/>
        <family val="2"/>
        <charset val="134"/>
      </rPr>
      <t>06-11 (</t>
    </r>
    <r>
      <rPr>
        <sz val="11"/>
        <rFont val="DejaVu Sans"/>
        <family val="2"/>
      </rPr>
      <t>周四</t>
    </r>
    <r>
      <rPr>
        <sz val="11"/>
        <rFont val="Microsoft YaHei"/>
        <family val="2"/>
        <charset val="134"/>
      </rPr>
      <t>)</t>
    </r>
  </si>
  <si>
    <r>
      <rPr>
        <sz val="11"/>
        <rFont val="Microsoft YaHei"/>
        <family val="2"/>
        <charset val="134"/>
      </rPr>
      <t xml:space="preserve">ConcurrentHashMap </t>
    </r>
    <r>
      <rPr>
        <sz val="11"/>
        <rFont val="DejaVu Sans"/>
        <family val="2"/>
      </rPr>
      <t>怎么实现的</t>
    </r>
  </si>
  <si>
    <r>
      <rPr>
        <sz val="11"/>
        <rFont val="DejaVu Sans"/>
        <family val="2"/>
      </rPr>
      <t xml:space="preserve">用了 </t>
    </r>
    <r>
      <rPr>
        <sz val="11"/>
        <rFont val="Microsoft YaHei"/>
        <family val="2"/>
        <charset val="134"/>
      </rPr>
      <t xml:space="preserve">synchronized </t>
    </r>
    <r>
      <rPr>
        <sz val="11"/>
        <rFont val="DejaVu Sans"/>
        <family val="2"/>
      </rPr>
      <t xml:space="preserve">为什么还要 </t>
    </r>
    <r>
      <rPr>
        <sz val="11"/>
        <rFont val="Microsoft YaHei"/>
        <family val="2"/>
        <charset val="134"/>
      </rPr>
      <t>CAS</t>
    </r>
  </si>
  <si>
    <t>ArrayList vs LinkedList</t>
  </si>
  <si>
    <r>
      <rPr>
        <sz val="11"/>
        <rFont val="Microsoft YaHei"/>
        <family val="2"/>
        <charset val="134"/>
      </rPr>
      <t xml:space="preserve">ArrayList </t>
    </r>
    <r>
      <rPr>
        <sz val="11"/>
        <rFont val="DejaVu Sans"/>
        <family val="2"/>
      </rPr>
      <t>扩容机制</t>
    </r>
  </si>
  <si>
    <r>
      <rPr>
        <sz val="11"/>
        <rFont val="Microsoft YaHei"/>
        <family val="2"/>
        <charset val="134"/>
      </rPr>
      <t xml:space="preserve">ArrayList </t>
    </r>
    <r>
      <rPr>
        <sz val="11"/>
        <rFont val="DejaVu Sans"/>
        <family val="2"/>
      </rPr>
      <t xml:space="preserve">为什么线程不安全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怎么变安全</t>
    </r>
  </si>
  <si>
    <t>List vs Set</t>
  </si>
  <si>
    <r>
      <rPr>
        <sz val="11"/>
        <rFont val="DejaVu Sans"/>
        <family val="2"/>
      </rPr>
      <t>并发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多线程</t>
    </r>
  </si>
  <si>
    <r>
      <rPr>
        <sz val="11"/>
        <rFont val="Microsoft YaHei"/>
        <family val="2"/>
        <charset val="134"/>
      </rPr>
      <t>JMM</t>
    </r>
    <r>
      <rPr>
        <sz val="11"/>
        <rFont val="DejaVu Sans"/>
        <family val="2"/>
      </rPr>
      <t>（</t>
    </r>
    <r>
      <rPr>
        <sz val="11"/>
        <rFont val="Microsoft YaHei"/>
        <family val="2"/>
        <charset val="134"/>
      </rPr>
      <t xml:space="preserve">Java </t>
    </r>
    <r>
      <rPr>
        <sz val="11"/>
        <rFont val="DejaVu Sans"/>
        <family val="2"/>
      </rPr>
      <t>内存模型）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三大问题</t>
    </r>
  </si>
  <si>
    <t>线程的创建方式</t>
  </si>
  <si>
    <t>线程的六种状态</t>
  </si>
  <si>
    <t>sleep vs wait</t>
  </si>
  <si>
    <r>
      <rPr>
        <sz val="11"/>
        <rFont val="Microsoft YaHei"/>
        <family val="2"/>
        <charset val="134"/>
      </rPr>
      <t>06-12 (</t>
    </r>
    <r>
      <rPr>
        <sz val="11"/>
        <rFont val="DejaVu Sans"/>
        <family val="2"/>
      </rPr>
      <t>周五</t>
    </r>
    <r>
      <rPr>
        <sz val="11"/>
        <rFont val="Microsoft YaHei"/>
        <family val="2"/>
        <charset val="134"/>
      </rPr>
      <t>)</t>
    </r>
  </si>
  <si>
    <t>notify vs notifyAll</t>
  </si>
  <si>
    <t>怎么保证多线程安全</t>
  </si>
  <si>
    <r>
      <rPr>
        <sz val="11"/>
        <rFont val="Microsoft YaHei"/>
        <family val="2"/>
        <charset val="134"/>
      </rPr>
      <t xml:space="preserve">volatile </t>
    </r>
    <r>
      <rPr>
        <sz val="11"/>
        <rFont val="DejaVu Sans"/>
        <family val="2"/>
      </rPr>
      <t>作用与原理</t>
    </r>
  </si>
  <si>
    <r>
      <rPr>
        <sz val="11"/>
        <rFont val="Microsoft YaHei"/>
        <family val="2"/>
        <charset val="134"/>
      </rPr>
      <t xml:space="preserve">synchronized </t>
    </r>
    <r>
      <rPr>
        <sz val="11"/>
        <rFont val="DejaVu Sans"/>
        <family val="2"/>
      </rPr>
      <t xml:space="preserve">原理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锁升级</t>
    </r>
  </si>
  <si>
    <r>
      <rPr>
        <sz val="11"/>
        <rFont val="Microsoft YaHei"/>
        <family val="2"/>
        <charset val="134"/>
      </rPr>
      <t xml:space="preserve">CAS </t>
    </r>
    <r>
      <rPr>
        <sz val="11"/>
        <rFont val="DejaVu Sans"/>
        <family val="2"/>
      </rPr>
      <t xml:space="preserve">原理 </t>
    </r>
    <r>
      <rPr>
        <sz val="11"/>
        <rFont val="Microsoft YaHei"/>
        <family val="2"/>
        <charset val="134"/>
      </rPr>
      <t xml:space="preserve">+ ABA </t>
    </r>
    <r>
      <rPr>
        <sz val="11"/>
        <rFont val="DejaVu Sans"/>
        <family val="2"/>
      </rPr>
      <t>问题</t>
    </r>
  </si>
  <si>
    <t>ReentrantLock vs synchronized + AQS</t>
  </si>
  <si>
    <r>
      <rPr>
        <sz val="11"/>
        <rFont val="DejaVu Sans"/>
        <family val="2"/>
      </rPr>
      <t>线程池原理（核心参数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流程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拒绝策略）</t>
    </r>
  </si>
  <si>
    <r>
      <rPr>
        <sz val="11"/>
        <rFont val="Microsoft YaHei"/>
        <family val="2"/>
        <charset val="134"/>
      </rPr>
      <t xml:space="preserve">BLOCKED vs WAITING / </t>
    </r>
    <r>
      <rPr>
        <sz val="11"/>
        <rFont val="DejaVu Sans"/>
        <family val="2"/>
      </rPr>
      <t>如何停止线程</t>
    </r>
  </si>
  <si>
    <t>MySQL</t>
  </si>
  <si>
    <r>
      <rPr>
        <sz val="11"/>
        <rFont val="DejaVu Sans"/>
        <family val="2"/>
      </rPr>
      <t xml:space="preserve">索引为什么用 </t>
    </r>
    <r>
      <rPr>
        <sz val="11"/>
        <rFont val="Microsoft YaHei"/>
        <family val="2"/>
        <charset val="134"/>
      </rPr>
      <t xml:space="preserve">B+ </t>
    </r>
    <r>
      <rPr>
        <sz val="11"/>
        <rFont val="DejaVu Sans"/>
        <family val="2"/>
      </rPr>
      <t>树（</t>
    </r>
    <r>
      <rPr>
        <sz val="11"/>
        <rFont val="Microsoft YaHei"/>
        <family val="2"/>
        <charset val="134"/>
      </rPr>
      <t>vs B</t>
    </r>
    <r>
      <rPr>
        <sz val="11"/>
        <rFont val="DejaVu Sans"/>
        <family val="2"/>
      </rPr>
      <t>树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跳表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哈希）</t>
    </r>
  </si>
  <si>
    <r>
      <rPr>
        <sz val="11"/>
        <rFont val="DejaVu Sans"/>
        <family val="2"/>
      </rPr>
      <t xml:space="preserve">聚簇索引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非聚簇索引</t>
    </r>
  </si>
  <si>
    <r>
      <rPr>
        <sz val="11"/>
        <rFont val="Microsoft YaHei"/>
        <family val="2"/>
        <charset val="134"/>
      </rPr>
      <t>06-13 (</t>
    </r>
    <r>
      <rPr>
        <sz val="11"/>
        <rFont val="DejaVu Sans"/>
        <family val="2"/>
      </rPr>
      <t>周六</t>
    </r>
    <r>
      <rPr>
        <sz val="11"/>
        <rFont val="Microsoft YaHei"/>
        <family val="2"/>
        <charset val="134"/>
      </rPr>
      <t>)</t>
    </r>
  </si>
  <si>
    <r>
      <rPr>
        <sz val="11"/>
        <rFont val="DejaVu Sans"/>
        <family val="2"/>
      </rPr>
      <t xml:space="preserve">联合索引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最左匹配原则</t>
    </r>
  </si>
  <si>
    <t>索引失效的场景</t>
  </si>
  <si>
    <r>
      <rPr>
        <sz val="11"/>
        <rFont val="DejaVu Sans"/>
        <family val="2"/>
      </rPr>
      <t xml:space="preserve">回表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覆盖索引</t>
    </r>
  </si>
  <si>
    <r>
      <rPr>
        <sz val="11"/>
        <rFont val="DejaVu Sans"/>
        <family val="2"/>
      </rPr>
      <t xml:space="preserve">事务的 </t>
    </r>
    <r>
      <rPr>
        <sz val="11"/>
        <rFont val="Microsoft YaHei"/>
        <family val="2"/>
        <charset val="134"/>
      </rPr>
      <t xml:space="preserve">ACID </t>
    </r>
    <r>
      <rPr>
        <sz val="11"/>
        <rFont val="DejaVu Sans"/>
        <family val="2"/>
      </rPr>
      <t>及实现</t>
    </r>
  </si>
  <si>
    <r>
      <rPr>
        <sz val="11"/>
        <rFont val="DejaVu Sans"/>
        <family val="2"/>
      </rPr>
      <t xml:space="preserve">事务隔离级别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默认级别</t>
    </r>
  </si>
  <si>
    <r>
      <rPr>
        <sz val="11"/>
        <rFont val="Microsoft YaHei"/>
        <family val="2"/>
        <charset val="134"/>
      </rPr>
      <t xml:space="preserve">RR </t>
    </r>
    <r>
      <rPr>
        <sz val="11"/>
        <rFont val="DejaVu Sans"/>
        <family val="2"/>
      </rPr>
      <t>怎么（部分）解决幻读</t>
    </r>
  </si>
  <si>
    <r>
      <rPr>
        <sz val="11"/>
        <rFont val="Microsoft YaHei"/>
        <family val="2"/>
        <charset val="134"/>
      </rPr>
      <t xml:space="preserve">MVCC </t>
    </r>
    <r>
      <rPr>
        <sz val="11"/>
        <rFont val="DejaVu Sans"/>
        <family val="2"/>
      </rPr>
      <t>实现原理</t>
    </r>
  </si>
  <si>
    <t>redo log / undo log / binlog</t>
  </si>
  <si>
    <r>
      <rPr>
        <sz val="11"/>
        <rFont val="Microsoft YaHei"/>
        <family val="2"/>
        <charset val="134"/>
      </rPr>
      <t xml:space="preserve">binlog </t>
    </r>
    <r>
      <rPr>
        <sz val="11"/>
        <rFont val="DejaVu Sans"/>
        <family val="2"/>
      </rPr>
      <t>两阶段提交</t>
    </r>
  </si>
  <si>
    <r>
      <rPr>
        <sz val="11"/>
        <rFont val="DejaVu Sans"/>
        <family val="2"/>
      </rPr>
      <t xml:space="preserve">一条 </t>
    </r>
    <r>
      <rPr>
        <sz val="11"/>
        <rFont val="Microsoft YaHei"/>
        <family val="2"/>
        <charset val="134"/>
      </rPr>
      <t xml:space="preserve">SQL </t>
    </r>
    <r>
      <rPr>
        <sz val="11"/>
        <rFont val="DejaVu Sans"/>
        <family val="2"/>
      </rPr>
      <t>的执行过程</t>
    </r>
  </si>
  <si>
    <r>
      <rPr>
        <sz val="11"/>
        <rFont val="Microsoft YaHei"/>
        <family val="2"/>
        <charset val="134"/>
      </rPr>
      <t>06-14 (</t>
    </r>
    <r>
      <rPr>
        <sz val="11"/>
        <rFont val="DejaVu Sans"/>
        <family val="2"/>
      </rPr>
      <t>周日</t>
    </r>
    <r>
      <rPr>
        <sz val="11"/>
        <rFont val="Microsoft YaHei"/>
        <family val="2"/>
        <charset val="134"/>
      </rPr>
      <t>)</t>
    </r>
  </si>
  <si>
    <t>InnoDB vs MyISAM</t>
  </si>
  <si>
    <r>
      <rPr>
        <sz val="11"/>
        <rFont val="Microsoft YaHei"/>
        <family val="2"/>
        <charset val="134"/>
      </rPr>
      <t xml:space="preserve">MySQL </t>
    </r>
    <r>
      <rPr>
        <sz val="11"/>
        <rFont val="DejaVu Sans"/>
        <family val="2"/>
      </rPr>
      <t>有哪些锁</t>
    </r>
  </si>
  <si>
    <r>
      <rPr>
        <sz val="11"/>
        <rFont val="Microsoft YaHei"/>
        <family val="2"/>
        <charset val="134"/>
      </rPr>
      <t xml:space="preserve">explain </t>
    </r>
    <r>
      <rPr>
        <sz val="11"/>
        <rFont val="DejaVu Sans"/>
        <family val="2"/>
      </rPr>
      <t>怎么看</t>
    </r>
  </si>
  <si>
    <t>慢查询怎么优化</t>
  </si>
  <si>
    <t>JVM</t>
  </si>
  <si>
    <r>
      <rPr>
        <sz val="11"/>
        <rFont val="Microsoft YaHei"/>
        <family val="2"/>
        <charset val="134"/>
      </rPr>
      <t xml:space="preserve">JVM </t>
    </r>
    <r>
      <rPr>
        <sz val="11"/>
        <rFont val="DejaVu Sans"/>
        <family val="2"/>
      </rPr>
      <t>内存模型（运行时数据区）</t>
    </r>
  </si>
  <si>
    <r>
      <rPr>
        <sz val="11"/>
        <rFont val="DejaVu Sans"/>
        <family val="2"/>
      </rPr>
      <t xml:space="preserve">堆和栈的区别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堆怎么分代</t>
    </r>
  </si>
  <si>
    <t>程序计数器为什么线程私有</t>
  </si>
  <si>
    <t>创建对象的过程</t>
  </si>
  <si>
    <t>类加载过程</t>
  </si>
  <si>
    <r>
      <rPr>
        <sz val="11"/>
        <rFont val="DejaVu Sans"/>
        <family val="2"/>
      </rPr>
      <t xml:space="preserve">双亲委派模型是什么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有什么用</t>
    </r>
  </si>
  <si>
    <r>
      <rPr>
        <sz val="11"/>
        <rFont val="Microsoft YaHei"/>
        <family val="2"/>
        <charset val="134"/>
      </rPr>
      <t>06-15 (</t>
    </r>
    <r>
      <rPr>
        <sz val="11"/>
        <rFont val="DejaVu Sans"/>
        <family val="2"/>
      </rPr>
      <t>周一</t>
    </r>
    <r>
      <rPr>
        <sz val="11"/>
        <rFont val="Microsoft YaHei"/>
        <family val="2"/>
        <charset val="134"/>
      </rPr>
      <t>)</t>
    </r>
  </si>
  <si>
    <t>类加载器有哪些</t>
  </si>
  <si>
    <t>判断垃圾的方法</t>
  </si>
  <si>
    <t>垃圾回收算法</t>
  </si>
  <si>
    <r>
      <rPr>
        <sz val="11"/>
        <rFont val="DejaVu Sans"/>
        <family val="2"/>
      </rPr>
      <t xml:space="preserve">垃圾回收器 </t>
    </r>
    <r>
      <rPr>
        <sz val="11"/>
        <rFont val="Microsoft YaHei"/>
        <family val="2"/>
        <charset val="134"/>
      </rPr>
      <t>/ CMS vs G1</t>
    </r>
  </si>
  <si>
    <t>MinorGC / MajorGC / FullGC</t>
  </si>
  <si>
    <t>四种引用类型</t>
  </si>
  <si>
    <r>
      <rPr>
        <sz val="11"/>
        <rFont val="DejaVu Sans"/>
        <family val="2"/>
      </rPr>
      <t xml:space="preserve">内存泄漏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内存溢出</t>
    </r>
  </si>
  <si>
    <t>Spring</t>
  </si>
  <si>
    <r>
      <rPr>
        <sz val="11"/>
        <rFont val="Microsoft YaHei"/>
        <family val="2"/>
        <charset val="134"/>
      </rPr>
      <t xml:space="preserve">IoC / DI </t>
    </r>
    <r>
      <rPr>
        <sz val="11"/>
        <rFont val="DejaVu Sans"/>
        <family val="2"/>
      </rPr>
      <t>是什么</t>
    </r>
  </si>
  <si>
    <r>
      <rPr>
        <sz val="11"/>
        <rFont val="Microsoft YaHei"/>
        <family val="2"/>
        <charset val="134"/>
      </rPr>
      <t xml:space="preserve">Bean </t>
    </r>
    <r>
      <rPr>
        <sz val="11"/>
        <rFont val="DejaVu Sans"/>
        <family val="2"/>
      </rPr>
      <t>的生命周期</t>
    </r>
  </si>
  <si>
    <r>
      <rPr>
        <sz val="11"/>
        <rFont val="Microsoft YaHei"/>
        <family val="2"/>
        <charset val="134"/>
      </rPr>
      <t xml:space="preserve">Bean </t>
    </r>
    <r>
      <rPr>
        <sz val="11"/>
        <rFont val="DejaVu Sans"/>
        <family val="2"/>
      </rPr>
      <t>的作用域</t>
    </r>
  </si>
  <si>
    <r>
      <rPr>
        <sz val="11"/>
        <rFont val="Microsoft YaHei"/>
        <family val="2"/>
        <charset val="134"/>
      </rPr>
      <t>06-16 (</t>
    </r>
    <r>
      <rPr>
        <sz val="11"/>
        <rFont val="DejaVu Sans"/>
        <family val="2"/>
      </rPr>
      <t>周二</t>
    </r>
    <r>
      <rPr>
        <sz val="11"/>
        <rFont val="Microsoft YaHei"/>
        <family val="2"/>
        <charset val="134"/>
      </rPr>
      <t>)</t>
    </r>
  </si>
  <si>
    <t>三级缓存如何解决循环依赖</t>
  </si>
  <si>
    <r>
      <rPr>
        <sz val="11"/>
        <rFont val="Microsoft YaHei"/>
        <family val="2"/>
        <charset val="134"/>
      </rPr>
      <t xml:space="preserve">AOP </t>
    </r>
    <r>
      <rPr>
        <sz val="11"/>
        <rFont val="DejaVu Sans"/>
        <family val="2"/>
      </rPr>
      <t>原理（</t>
    </r>
    <r>
      <rPr>
        <sz val="11"/>
        <rFont val="Microsoft YaHei"/>
        <family val="2"/>
        <charset val="134"/>
      </rPr>
      <t xml:space="preserve">JDK </t>
    </r>
    <r>
      <rPr>
        <sz val="11"/>
        <rFont val="DejaVu Sans"/>
        <family val="2"/>
      </rPr>
      <t xml:space="preserve">代理 </t>
    </r>
    <r>
      <rPr>
        <sz val="11"/>
        <rFont val="Microsoft YaHei"/>
        <family val="2"/>
        <charset val="134"/>
      </rPr>
      <t>vs CGLIB</t>
    </r>
    <r>
      <rPr>
        <sz val="11"/>
        <rFont val="DejaVu Sans"/>
        <family val="2"/>
      </rPr>
      <t>）</t>
    </r>
  </si>
  <si>
    <r>
      <rPr>
        <sz val="11"/>
        <rFont val="Microsoft YaHei"/>
        <family val="2"/>
        <charset val="134"/>
      </rPr>
      <t xml:space="preserve">@Transactional </t>
    </r>
    <r>
      <rPr>
        <sz val="11"/>
        <rFont val="DejaVu Sans"/>
        <family val="2"/>
      </rPr>
      <t>事务原理</t>
    </r>
  </si>
  <si>
    <t>事务的传播行为</t>
  </si>
  <si>
    <t>事务失效的场景</t>
  </si>
  <si>
    <r>
      <rPr>
        <sz val="11"/>
        <rFont val="Microsoft YaHei"/>
        <family val="2"/>
        <charset val="134"/>
      </rPr>
      <t xml:space="preserve">Spring MVC </t>
    </r>
    <r>
      <rPr>
        <sz val="11"/>
        <rFont val="DejaVu Sans"/>
        <family val="2"/>
      </rPr>
      <t>请求处理流程</t>
    </r>
  </si>
  <si>
    <r>
      <rPr>
        <sz val="11"/>
        <rFont val="Microsoft YaHei"/>
        <family val="2"/>
        <charset val="134"/>
      </rPr>
      <t xml:space="preserve">Spring Boot </t>
    </r>
    <r>
      <rPr>
        <sz val="11"/>
        <rFont val="DejaVu Sans"/>
        <family val="2"/>
      </rPr>
      <t>自动装配原理</t>
    </r>
  </si>
  <si>
    <r>
      <rPr>
        <sz val="11"/>
        <rFont val="DejaVu Sans"/>
        <family val="2"/>
      </rPr>
      <t>常用注解区别（</t>
    </r>
    <r>
      <rPr>
        <sz val="11"/>
        <rFont val="Microsoft YaHei"/>
        <family val="2"/>
        <charset val="134"/>
      </rPr>
      <t xml:space="preserve">@Autowired vs @Resource </t>
    </r>
    <r>
      <rPr>
        <sz val="11"/>
        <rFont val="DejaVu Sans"/>
        <family val="2"/>
      </rPr>
      <t>等）</t>
    </r>
  </si>
  <si>
    <t>计算机网络</t>
  </si>
  <si>
    <r>
      <rPr>
        <sz val="11"/>
        <rFont val="Microsoft YaHei"/>
        <family val="2"/>
        <charset val="134"/>
      </rPr>
      <t xml:space="preserve">TCP </t>
    </r>
    <r>
      <rPr>
        <sz val="11"/>
        <rFont val="DejaVu Sans"/>
        <family val="2"/>
      </rPr>
      <t xml:space="preserve">三次握手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为什么三次</t>
    </r>
  </si>
  <si>
    <r>
      <rPr>
        <sz val="11"/>
        <rFont val="Microsoft YaHei"/>
        <family val="2"/>
        <charset val="134"/>
      </rPr>
      <t xml:space="preserve">TCP </t>
    </r>
    <r>
      <rPr>
        <sz val="11"/>
        <rFont val="DejaVu Sans"/>
        <family val="2"/>
      </rPr>
      <t xml:space="preserve">四次挥手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 xml:space="preserve">为什么四次 </t>
    </r>
    <r>
      <rPr>
        <sz val="11"/>
        <rFont val="Microsoft YaHei"/>
        <family val="2"/>
        <charset val="134"/>
      </rPr>
      <t>+ 2MSL</t>
    </r>
  </si>
  <si>
    <r>
      <rPr>
        <sz val="11"/>
        <rFont val="Microsoft YaHei"/>
        <family val="2"/>
        <charset val="134"/>
      </rPr>
      <t>06-17 (</t>
    </r>
    <r>
      <rPr>
        <sz val="11"/>
        <rFont val="DejaVu Sans"/>
        <family val="2"/>
      </rPr>
      <t>周三</t>
    </r>
    <r>
      <rPr>
        <sz val="11"/>
        <rFont val="Microsoft YaHei"/>
        <family val="2"/>
        <charset val="134"/>
      </rPr>
      <t>)</t>
    </r>
  </si>
  <si>
    <t>TCP vs UDP</t>
  </si>
  <si>
    <r>
      <rPr>
        <sz val="11"/>
        <rFont val="Microsoft YaHei"/>
        <family val="2"/>
        <charset val="134"/>
      </rPr>
      <t xml:space="preserve">TCP </t>
    </r>
    <r>
      <rPr>
        <sz val="11"/>
        <rFont val="DejaVu Sans"/>
        <family val="2"/>
      </rPr>
      <t>为什么可靠</t>
    </r>
  </si>
  <si>
    <r>
      <rPr>
        <sz val="11"/>
        <rFont val="Microsoft YaHei"/>
        <family val="2"/>
        <charset val="134"/>
      </rPr>
      <t xml:space="preserve">TCP </t>
    </r>
    <r>
      <rPr>
        <sz val="11"/>
        <rFont val="DejaVu Sans"/>
        <family val="2"/>
      </rPr>
      <t>拥塞控制</t>
    </r>
  </si>
  <si>
    <t>GET vs POST</t>
  </si>
  <si>
    <r>
      <rPr>
        <sz val="11"/>
        <rFont val="Microsoft YaHei"/>
        <family val="2"/>
        <charset val="134"/>
      </rPr>
      <t xml:space="preserve">HTTP </t>
    </r>
    <r>
      <rPr>
        <sz val="11"/>
        <rFont val="DejaVu Sans"/>
        <family val="2"/>
      </rPr>
      <t xml:space="preserve">常用状态码（含 </t>
    </r>
    <r>
      <rPr>
        <sz val="11"/>
        <rFont val="Microsoft YaHei"/>
        <family val="2"/>
        <charset val="134"/>
      </rPr>
      <t>502/504</t>
    </r>
    <r>
      <rPr>
        <sz val="11"/>
        <rFont val="DejaVu Sans"/>
        <family val="2"/>
      </rPr>
      <t>）</t>
    </r>
  </si>
  <si>
    <t>HTTP vs HTTPS</t>
  </si>
  <si>
    <r>
      <rPr>
        <sz val="11"/>
        <rFont val="Microsoft YaHei"/>
        <family val="2"/>
        <charset val="134"/>
      </rPr>
      <t xml:space="preserve">HTTPS </t>
    </r>
    <r>
      <rPr>
        <sz val="11"/>
        <rFont val="DejaVu Sans"/>
        <family val="2"/>
      </rPr>
      <t>握手过程</t>
    </r>
  </si>
  <si>
    <t>HTTP/1.1 vs 2.0</t>
  </si>
  <si>
    <r>
      <rPr>
        <sz val="11"/>
        <rFont val="Microsoft YaHei"/>
        <family val="2"/>
        <charset val="134"/>
      </rPr>
      <t xml:space="preserve">HTTP </t>
    </r>
    <r>
      <rPr>
        <sz val="11"/>
        <rFont val="DejaVu Sans"/>
        <family val="2"/>
      </rPr>
      <t xml:space="preserve">无状态 </t>
    </r>
    <r>
      <rPr>
        <sz val="11"/>
        <rFont val="Microsoft YaHei"/>
        <family val="2"/>
        <charset val="134"/>
      </rPr>
      <t xml:space="preserve">/ Cookie </t>
    </r>
    <r>
      <rPr>
        <sz val="11"/>
        <rFont val="DejaVu Sans"/>
        <family val="2"/>
      </rPr>
      <t xml:space="preserve">和 </t>
    </r>
    <r>
      <rPr>
        <sz val="11"/>
        <rFont val="Microsoft YaHei"/>
        <family val="2"/>
        <charset val="134"/>
      </rPr>
      <t>Session</t>
    </r>
  </si>
  <si>
    <t>Cookie / Session / Token(JWT)</t>
  </si>
  <si>
    <r>
      <rPr>
        <sz val="11"/>
        <rFont val="Microsoft YaHei"/>
        <family val="2"/>
        <charset val="134"/>
      </rPr>
      <t>06-18 (</t>
    </r>
    <r>
      <rPr>
        <sz val="11"/>
        <rFont val="DejaVu Sans"/>
        <family val="2"/>
      </rPr>
      <t>周四</t>
    </r>
    <r>
      <rPr>
        <sz val="11"/>
        <rFont val="Microsoft YaHei"/>
        <family val="2"/>
        <charset val="134"/>
      </rPr>
      <t>)</t>
    </r>
  </si>
  <si>
    <r>
      <rPr>
        <sz val="11"/>
        <rFont val="DejaVu Sans"/>
        <family val="2"/>
      </rPr>
      <t xml:space="preserve">输入 </t>
    </r>
    <r>
      <rPr>
        <sz val="11"/>
        <rFont val="Microsoft YaHei"/>
        <family val="2"/>
        <charset val="134"/>
      </rPr>
      <t xml:space="preserve">URL </t>
    </r>
    <r>
      <rPr>
        <sz val="11"/>
        <rFont val="DejaVu Sans"/>
        <family val="2"/>
      </rPr>
      <t>到页面展示发生了什么</t>
    </r>
  </si>
  <si>
    <r>
      <rPr>
        <sz val="11"/>
        <rFont val="Microsoft YaHei"/>
        <family val="2"/>
        <charset val="134"/>
      </rPr>
      <t xml:space="preserve">DNS </t>
    </r>
    <r>
      <rPr>
        <sz val="11"/>
        <rFont val="DejaVu Sans"/>
        <family val="2"/>
      </rPr>
      <t xml:space="preserve">解析流程 </t>
    </r>
    <r>
      <rPr>
        <sz val="11"/>
        <rFont val="Microsoft YaHei"/>
        <family val="2"/>
        <charset val="134"/>
      </rPr>
      <t xml:space="preserve">/ TCP </t>
    </r>
    <r>
      <rPr>
        <sz val="11"/>
        <rFont val="DejaVu Sans"/>
        <family val="2"/>
      </rPr>
      <t xml:space="preserve">还是 </t>
    </r>
    <r>
      <rPr>
        <sz val="11"/>
        <rFont val="Microsoft YaHei"/>
        <family val="2"/>
        <charset val="134"/>
      </rPr>
      <t>UDP</t>
    </r>
  </si>
  <si>
    <r>
      <rPr>
        <sz val="11"/>
        <rFont val="Microsoft YaHei"/>
        <family val="2"/>
        <charset val="134"/>
      </rPr>
      <t xml:space="preserve">HTTP </t>
    </r>
    <r>
      <rPr>
        <sz val="11"/>
        <rFont val="DejaVu Sans"/>
        <family val="2"/>
      </rPr>
      <t xml:space="preserve">长连接 </t>
    </r>
    <r>
      <rPr>
        <sz val="11"/>
        <rFont val="Microsoft YaHei"/>
        <family val="2"/>
        <charset val="134"/>
      </rPr>
      <t>vs WebSocket</t>
    </r>
  </si>
  <si>
    <t>Redis</t>
  </si>
  <si>
    <r>
      <rPr>
        <sz val="11"/>
        <rFont val="Microsoft YaHei"/>
        <family val="2"/>
        <charset val="134"/>
      </rPr>
      <t xml:space="preserve">Redis </t>
    </r>
    <r>
      <rPr>
        <sz val="11"/>
        <rFont val="DejaVu Sans"/>
        <family val="2"/>
      </rPr>
      <t>为什么快</t>
    </r>
  </si>
  <si>
    <t>五种数据类型及底层实现</t>
  </si>
  <si>
    <r>
      <rPr>
        <sz val="11"/>
        <rFont val="Microsoft YaHei"/>
        <family val="2"/>
        <charset val="134"/>
      </rPr>
      <t xml:space="preserve">ZSet </t>
    </r>
    <r>
      <rPr>
        <sz val="11"/>
        <rFont val="DejaVu Sans"/>
        <family val="2"/>
      </rPr>
      <t xml:space="preserve">底层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 xml:space="preserve">跳表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 xml:space="preserve">为什么不用 </t>
    </r>
    <r>
      <rPr>
        <sz val="11"/>
        <rFont val="Microsoft YaHei"/>
        <family val="2"/>
        <charset val="134"/>
      </rPr>
      <t xml:space="preserve">B+ </t>
    </r>
    <r>
      <rPr>
        <sz val="11"/>
        <rFont val="DejaVu Sans"/>
        <family val="2"/>
      </rPr>
      <t>树</t>
    </r>
  </si>
  <si>
    <t>RDB vs AOF</t>
  </si>
  <si>
    <t>内存淘汰策略</t>
  </si>
  <si>
    <t>过期删除策略</t>
  </si>
  <si>
    <r>
      <rPr>
        <sz val="11"/>
        <rFont val="DejaVu Sans"/>
        <family val="2"/>
      </rPr>
      <t xml:space="preserve">缓存雪崩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 xml:space="preserve">击穿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穿透</t>
    </r>
  </si>
  <si>
    <r>
      <rPr>
        <sz val="11"/>
        <rFont val="Microsoft YaHei"/>
        <family val="2"/>
        <charset val="134"/>
      </rPr>
      <t>06-19 (</t>
    </r>
    <r>
      <rPr>
        <sz val="11"/>
        <rFont val="DejaVu Sans"/>
        <family val="2"/>
      </rPr>
      <t>周五</t>
    </r>
    <r>
      <rPr>
        <sz val="11"/>
        <rFont val="Microsoft YaHei"/>
        <family val="2"/>
        <charset val="134"/>
      </rPr>
      <t>)</t>
    </r>
  </si>
  <si>
    <t>布隆过滤器原理</t>
  </si>
  <si>
    <r>
      <rPr>
        <sz val="11"/>
        <rFont val="Microsoft YaHei"/>
        <family val="2"/>
        <charset val="134"/>
      </rPr>
      <t xml:space="preserve">Redis </t>
    </r>
    <r>
      <rPr>
        <sz val="11"/>
        <rFont val="DejaVu Sans"/>
        <family val="2"/>
      </rPr>
      <t xml:space="preserve">和 </t>
    </r>
    <r>
      <rPr>
        <sz val="11"/>
        <rFont val="Microsoft YaHei"/>
        <family val="2"/>
        <charset val="134"/>
      </rPr>
      <t xml:space="preserve">MySQL </t>
    </r>
    <r>
      <rPr>
        <sz val="11"/>
        <rFont val="DejaVu Sans"/>
        <family val="2"/>
      </rPr>
      <t>缓存一致性</t>
    </r>
  </si>
  <si>
    <r>
      <rPr>
        <sz val="11"/>
        <rFont val="Microsoft YaHei"/>
        <family val="2"/>
        <charset val="134"/>
      </rPr>
      <t xml:space="preserve">Redis </t>
    </r>
    <r>
      <rPr>
        <sz val="11"/>
        <rFont val="DejaVu Sans"/>
        <family val="2"/>
      </rPr>
      <t>分布式锁</t>
    </r>
  </si>
  <si>
    <r>
      <rPr>
        <sz val="11"/>
        <rFont val="DejaVu Sans"/>
        <family val="2"/>
      </rPr>
      <t xml:space="preserve">大 </t>
    </r>
    <r>
      <rPr>
        <sz val="11"/>
        <rFont val="Microsoft YaHei"/>
        <family val="2"/>
        <charset val="134"/>
      </rPr>
      <t xml:space="preserve">Key / </t>
    </r>
    <r>
      <rPr>
        <sz val="11"/>
        <rFont val="DejaVu Sans"/>
        <family val="2"/>
      </rPr>
      <t xml:space="preserve">热 </t>
    </r>
    <r>
      <rPr>
        <sz val="11"/>
        <rFont val="Microsoft YaHei"/>
        <family val="2"/>
        <charset val="134"/>
      </rPr>
      <t xml:space="preserve">Key </t>
    </r>
    <r>
      <rPr>
        <sz val="11"/>
        <rFont val="DejaVu Sans"/>
        <family val="2"/>
      </rPr>
      <t>问题</t>
    </r>
  </si>
  <si>
    <t>主从复制</t>
  </si>
  <si>
    <t>哨兵机制</t>
  </si>
  <si>
    <r>
      <rPr>
        <sz val="11"/>
        <rFont val="DejaVu Sans"/>
        <family val="2"/>
      </rPr>
      <t xml:space="preserve">怎么保证 </t>
    </r>
    <r>
      <rPr>
        <sz val="11"/>
        <rFont val="Microsoft YaHei"/>
        <family val="2"/>
        <charset val="134"/>
      </rPr>
      <t xml:space="preserve">Redis </t>
    </r>
    <r>
      <rPr>
        <sz val="11"/>
        <rFont val="DejaVu Sans"/>
        <family val="2"/>
      </rPr>
      <t>操作原子性</t>
    </r>
  </si>
  <si>
    <r>
      <rPr>
        <sz val="11"/>
        <rFont val="DejaVu Sans"/>
        <family val="2"/>
      </rPr>
      <t>扩展</t>
    </r>
    <r>
      <rPr>
        <sz val="11"/>
        <rFont val="Microsoft YaHei"/>
        <family val="2"/>
        <charset val="134"/>
      </rPr>
      <t>(MyBatis/MQ/</t>
    </r>
    <r>
      <rPr>
        <sz val="11"/>
        <rFont val="DejaVu Sans"/>
        <family val="2"/>
      </rPr>
      <t>分布式</t>
    </r>
    <r>
      <rPr>
        <sz val="11"/>
        <rFont val="Microsoft YaHei"/>
        <family val="2"/>
        <charset val="134"/>
      </rPr>
      <t>)</t>
    </r>
  </si>
  <si>
    <r>
      <rPr>
        <sz val="11"/>
        <rFont val="Microsoft YaHei"/>
        <family val="2"/>
        <charset val="134"/>
      </rPr>
      <t xml:space="preserve">MyBatis #{} </t>
    </r>
    <r>
      <rPr>
        <sz val="11"/>
        <rFont val="DejaVu Sans"/>
        <family val="2"/>
      </rPr>
      <t xml:space="preserve">和 </t>
    </r>
    <r>
      <rPr>
        <sz val="11"/>
        <rFont val="Microsoft YaHei"/>
        <family val="2"/>
        <charset val="134"/>
      </rPr>
      <t xml:space="preserve">${} </t>
    </r>
    <r>
      <rPr>
        <sz val="11"/>
        <rFont val="DejaVu Sans"/>
        <family val="2"/>
      </rPr>
      <t>的区别</t>
    </r>
  </si>
  <si>
    <r>
      <rPr>
        <sz val="11"/>
        <rFont val="Microsoft YaHei"/>
        <family val="2"/>
        <charset val="134"/>
      </rPr>
      <t xml:space="preserve">MyBatis </t>
    </r>
    <r>
      <rPr>
        <sz val="11"/>
        <rFont val="DejaVu Sans"/>
        <family val="2"/>
      </rPr>
      <t>一级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二级缓存</t>
    </r>
  </si>
  <si>
    <r>
      <rPr>
        <sz val="11"/>
        <rFont val="Microsoft YaHei"/>
        <family val="2"/>
        <charset val="134"/>
      </rPr>
      <t xml:space="preserve">MQ </t>
    </r>
    <r>
      <rPr>
        <sz val="11"/>
        <rFont val="DejaVu Sans"/>
        <family val="2"/>
      </rPr>
      <t>的作用（解耦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异步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削峰）</t>
    </r>
  </si>
  <si>
    <r>
      <rPr>
        <sz val="11"/>
        <rFont val="Microsoft YaHei"/>
        <family val="2"/>
        <charset val="134"/>
      </rPr>
      <t>06-20 (</t>
    </r>
    <r>
      <rPr>
        <sz val="11"/>
        <rFont val="DejaVu Sans"/>
        <family val="2"/>
      </rPr>
      <t>周六</t>
    </r>
    <r>
      <rPr>
        <sz val="11"/>
        <rFont val="Microsoft YaHei"/>
        <family val="2"/>
        <charset val="134"/>
      </rPr>
      <t>)</t>
    </r>
  </si>
  <si>
    <r>
      <rPr>
        <sz val="11"/>
        <rFont val="Microsoft YaHei"/>
        <family val="2"/>
        <charset val="134"/>
      </rPr>
      <t xml:space="preserve">MQ </t>
    </r>
    <r>
      <rPr>
        <sz val="11"/>
        <rFont val="DejaVu Sans"/>
        <family val="2"/>
      </rPr>
      <t>如何保证消息不丢失</t>
    </r>
  </si>
  <si>
    <r>
      <rPr>
        <sz val="11"/>
        <rFont val="Microsoft YaHei"/>
        <family val="2"/>
        <charset val="134"/>
      </rPr>
      <t xml:space="preserve">MQ </t>
    </r>
    <r>
      <rPr>
        <sz val="11"/>
        <rFont val="DejaVu Sans"/>
        <family val="2"/>
      </rPr>
      <t>如何保证不重复消费（幂等）</t>
    </r>
  </si>
  <si>
    <r>
      <rPr>
        <sz val="11"/>
        <rFont val="Microsoft YaHei"/>
        <family val="2"/>
        <charset val="134"/>
      </rPr>
      <t xml:space="preserve">MQ </t>
    </r>
    <r>
      <rPr>
        <sz val="11"/>
        <rFont val="DejaVu Sans"/>
        <family val="2"/>
      </rPr>
      <t>消息积压怎么处理</t>
    </r>
  </si>
  <si>
    <r>
      <rPr>
        <sz val="11"/>
        <rFont val="Microsoft YaHei"/>
        <family val="2"/>
        <charset val="134"/>
      </rPr>
      <t xml:space="preserve">CAP / BASE </t>
    </r>
    <r>
      <rPr>
        <sz val="11"/>
        <rFont val="DejaVu Sans"/>
        <family val="2"/>
      </rPr>
      <t>理论</t>
    </r>
  </si>
  <si>
    <r>
      <rPr>
        <sz val="11"/>
        <rFont val="DejaVu Sans"/>
        <family val="2"/>
      </rPr>
      <t>分布式事务方案（</t>
    </r>
    <r>
      <rPr>
        <sz val="11"/>
        <rFont val="Microsoft YaHei"/>
        <family val="2"/>
        <charset val="134"/>
      </rPr>
      <t>2PC/TCC/</t>
    </r>
    <r>
      <rPr>
        <sz val="11"/>
        <rFont val="DejaVu Sans"/>
        <family val="2"/>
      </rPr>
      <t>本地消息表）</t>
    </r>
  </si>
  <si>
    <r>
      <rPr>
        <sz val="11"/>
        <rFont val="DejaVu Sans"/>
        <family val="2"/>
      </rPr>
      <t xml:space="preserve">分布式 </t>
    </r>
    <r>
      <rPr>
        <sz val="11"/>
        <rFont val="Microsoft YaHei"/>
        <family val="2"/>
        <charset val="134"/>
      </rPr>
      <t xml:space="preserve">ID </t>
    </r>
    <r>
      <rPr>
        <sz val="11"/>
        <rFont val="DejaVu Sans"/>
        <family val="2"/>
      </rPr>
      <t>生成方案（雪花算法）</t>
    </r>
  </si>
  <si>
    <r>
      <rPr>
        <sz val="11"/>
        <rFont val="DejaVu Sans"/>
        <family val="2"/>
      </rPr>
      <t>限流算法（漏桶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令牌桶等）</t>
    </r>
  </si>
  <si>
    <t>操作系统</t>
  </si>
  <si>
    <r>
      <rPr>
        <sz val="11"/>
        <rFont val="DejaVu Sans"/>
        <family val="2"/>
      </rPr>
      <t xml:space="preserve">进程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 xml:space="preserve">线程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协程</t>
    </r>
  </si>
  <si>
    <t>进程的五种状态</t>
  </si>
  <si>
    <r>
      <rPr>
        <sz val="11"/>
        <rFont val="DejaVu Sans"/>
        <family val="2"/>
      </rPr>
      <t>进程间通信方式（</t>
    </r>
    <r>
      <rPr>
        <sz val="11"/>
        <rFont val="Microsoft YaHei"/>
        <family val="2"/>
        <charset val="134"/>
      </rPr>
      <t>IPC</t>
    </r>
    <r>
      <rPr>
        <sz val="11"/>
        <rFont val="DejaVu Sans"/>
        <family val="2"/>
      </rPr>
      <t>）</t>
    </r>
  </si>
  <si>
    <r>
      <rPr>
        <sz val="11"/>
        <rFont val="Microsoft YaHei"/>
        <family val="2"/>
        <charset val="134"/>
      </rPr>
      <t>06-21 (</t>
    </r>
    <r>
      <rPr>
        <sz val="11"/>
        <rFont val="DejaVu Sans"/>
        <family val="2"/>
      </rPr>
      <t>周日</t>
    </r>
    <r>
      <rPr>
        <sz val="11"/>
        <rFont val="Microsoft YaHei"/>
        <family val="2"/>
        <charset val="134"/>
      </rPr>
      <t>)</t>
    </r>
  </si>
  <si>
    <t>线程间通信方式</t>
  </si>
  <si>
    <r>
      <rPr>
        <sz val="11"/>
        <rFont val="DejaVu Sans"/>
        <family val="2"/>
      </rPr>
      <t xml:space="preserve">进程切换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线程切换，为什么线程快</t>
    </r>
  </si>
  <si>
    <r>
      <rPr>
        <sz val="11"/>
        <rFont val="DejaVu Sans"/>
        <family val="2"/>
      </rPr>
      <t xml:space="preserve">用户态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内核态</t>
    </r>
  </si>
  <si>
    <r>
      <rPr>
        <sz val="11"/>
        <rFont val="DejaVu Sans"/>
        <family val="2"/>
      </rPr>
      <t xml:space="preserve">死锁四条件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如何避免</t>
    </r>
  </si>
  <si>
    <r>
      <rPr>
        <sz val="11"/>
        <rFont val="DejaVu Sans"/>
        <family val="2"/>
      </rPr>
      <t xml:space="preserve">乐观锁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 xml:space="preserve">悲观锁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自旋锁</t>
    </r>
  </si>
  <si>
    <r>
      <rPr>
        <sz val="11"/>
        <rFont val="DejaVu Sans"/>
        <family val="2"/>
      </rPr>
      <t xml:space="preserve">虚拟内存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地址转换</t>
    </r>
  </si>
  <si>
    <r>
      <rPr>
        <sz val="11"/>
        <rFont val="DejaVu Sans"/>
        <family val="2"/>
      </rPr>
      <t xml:space="preserve">程序的内存布局 </t>
    </r>
    <r>
      <rPr>
        <sz val="11"/>
        <rFont val="Microsoft YaHei"/>
        <family val="2"/>
        <charset val="134"/>
      </rPr>
      <t xml:space="preserve">/ </t>
    </r>
    <r>
      <rPr>
        <sz val="11"/>
        <rFont val="DejaVu Sans"/>
        <family val="2"/>
      </rPr>
      <t>堆栈区别</t>
    </r>
  </si>
  <si>
    <t>页面置换算法</t>
  </si>
  <si>
    <r>
      <rPr>
        <sz val="11"/>
        <rFont val="Microsoft YaHei"/>
        <family val="2"/>
        <charset val="134"/>
      </rPr>
      <t xml:space="preserve">IO </t>
    </r>
    <r>
      <rPr>
        <sz val="11"/>
        <rFont val="DejaVu Sans"/>
        <family val="2"/>
      </rPr>
      <t xml:space="preserve">多路复用 </t>
    </r>
    <r>
      <rPr>
        <sz val="11"/>
        <rFont val="Microsoft YaHei"/>
        <family val="2"/>
        <charset val="134"/>
      </rPr>
      <t>/ select-poll-epoll</t>
    </r>
  </si>
  <si>
    <r>
      <rPr>
        <sz val="11"/>
        <rFont val="Microsoft YaHei"/>
        <family val="2"/>
        <charset val="134"/>
      </rPr>
      <t xml:space="preserve">epoll </t>
    </r>
    <r>
      <rPr>
        <sz val="11"/>
        <rFont val="DejaVu Sans"/>
        <family val="2"/>
      </rPr>
      <t xml:space="preserve">的 </t>
    </r>
    <r>
      <rPr>
        <sz val="11"/>
        <rFont val="Microsoft YaHei"/>
        <family val="2"/>
        <charset val="134"/>
      </rPr>
      <t>LT vs ET</t>
    </r>
  </si>
  <si>
    <r>
      <rPr>
        <sz val="11"/>
        <rFont val="Microsoft YaHei"/>
        <family val="2"/>
        <charset val="134"/>
      </rPr>
      <t>06-22 (</t>
    </r>
    <r>
      <rPr>
        <sz val="11"/>
        <rFont val="DejaVu Sans"/>
        <family val="2"/>
      </rPr>
      <t>周一</t>
    </r>
    <r>
      <rPr>
        <sz val="11"/>
        <rFont val="Microsoft YaHei"/>
        <family val="2"/>
        <charset val="134"/>
      </rPr>
      <t>)</t>
    </r>
  </si>
  <si>
    <t>零拷贝</t>
  </si>
  <si>
    <r>
      <rPr>
        <sz val="11"/>
        <rFont val="Microsoft YaHei"/>
        <family val="2"/>
        <charset val="134"/>
      </rPr>
      <t>Java</t>
    </r>
    <r>
      <rPr>
        <sz val="11"/>
        <rFont val="DejaVu Sans"/>
        <family val="2"/>
      </rPr>
      <t>基础</t>
    </r>
  </si>
  <si>
    <r>
      <rPr>
        <sz val="11"/>
        <rFont val="DejaVu Sans"/>
        <family val="2"/>
      </rPr>
      <t xml:space="preserve">值传递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引用传递</t>
    </r>
  </si>
  <si>
    <r>
      <rPr>
        <sz val="11"/>
        <rFont val="DejaVu Sans"/>
        <family val="2"/>
      </rPr>
      <t xml:space="preserve">装箱拆箱 </t>
    </r>
    <r>
      <rPr>
        <sz val="11"/>
        <rFont val="Microsoft YaHei"/>
        <family val="2"/>
        <charset val="134"/>
      </rPr>
      <t xml:space="preserve">+ Integer </t>
    </r>
    <r>
      <rPr>
        <sz val="11"/>
        <rFont val="DejaVu Sans"/>
        <family val="2"/>
      </rPr>
      <t>缓存（</t>
    </r>
    <r>
      <rPr>
        <sz val="11"/>
        <rFont val="Microsoft YaHei"/>
        <family val="2"/>
        <charset val="134"/>
      </rPr>
      <t>-128~127</t>
    </r>
    <r>
      <rPr>
        <sz val="11"/>
        <rFont val="DejaVu Sans"/>
        <family val="2"/>
      </rPr>
      <t>）</t>
    </r>
  </si>
  <si>
    <r>
      <rPr>
        <sz val="11"/>
        <rFont val="DejaVu Sans"/>
        <family val="2"/>
      </rPr>
      <t xml:space="preserve">为什么用 </t>
    </r>
    <r>
      <rPr>
        <sz val="11"/>
        <rFont val="Microsoft YaHei"/>
        <family val="2"/>
        <charset val="134"/>
      </rPr>
      <t xml:space="preserve">BigDecimal </t>
    </r>
    <r>
      <rPr>
        <sz val="11"/>
        <rFont val="DejaVu Sans"/>
        <family val="2"/>
      </rPr>
      <t xml:space="preserve">不用 </t>
    </r>
    <r>
      <rPr>
        <sz val="11"/>
        <rFont val="Microsoft YaHei"/>
        <family val="2"/>
        <charset val="134"/>
      </rPr>
      <t>double</t>
    </r>
  </si>
  <si>
    <r>
      <rPr>
        <sz val="11"/>
        <rFont val="DejaVu Sans"/>
        <family val="2"/>
      </rPr>
      <t xml:space="preserve">重载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重写</t>
    </r>
  </si>
  <si>
    <r>
      <rPr>
        <sz val="11"/>
        <rFont val="DejaVu Sans"/>
        <family val="2"/>
      </rPr>
      <t xml:space="preserve">抽象类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>接口</t>
    </r>
  </si>
  <si>
    <r>
      <rPr>
        <sz val="11"/>
        <rFont val="Microsoft YaHei"/>
        <family val="2"/>
        <charset val="134"/>
      </rPr>
      <t xml:space="preserve">final / static </t>
    </r>
    <r>
      <rPr>
        <sz val="11"/>
        <rFont val="DejaVu Sans"/>
        <family val="2"/>
      </rPr>
      <t>的作用</t>
    </r>
  </si>
  <si>
    <r>
      <rPr>
        <sz val="11"/>
        <rFont val="DejaVu Sans"/>
        <family val="2"/>
      </rPr>
      <t xml:space="preserve">深拷贝 </t>
    </r>
    <r>
      <rPr>
        <sz val="11"/>
        <rFont val="Microsoft YaHei"/>
        <family val="2"/>
        <charset val="134"/>
      </rPr>
      <t xml:space="preserve">vs </t>
    </r>
    <r>
      <rPr>
        <sz val="11"/>
        <rFont val="DejaVu Sans"/>
        <family val="2"/>
      </rPr>
      <t xml:space="preserve">浅拷贝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实现方式</t>
    </r>
  </si>
  <si>
    <r>
      <rPr>
        <sz val="11"/>
        <rFont val="Microsoft YaHei"/>
        <family val="2"/>
        <charset val="134"/>
      </rPr>
      <t xml:space="preserve">JVM / JDK / JRE </t>
    </r>
    <r>
      <rPr>
        <sz val="11"/>
        <rFont val="DejaVu Sans"/>
        <family val="2"/>
      </rPr>
      <t>三者关系</t>
    </r>
  </si>
  <si>
    <t>八种基本数据类型及字节数</t>
  </si>
  <si>
    <r>
      <rPr>
        <sz val="11"/>
        <rFont val="Microsoft YaHei"/>
        <family val="2"/>
        <charset val="134"/>
      </rPr>
      <t>06-23 (</t>
    </r>
    <r>
      <rPr>
        <sz val="11"/>
        <rFont val="DejaVu Sans"/>
        <family val="2"/>
      </rPr>
      <t>周二</t>
    </r>
    <r>
      <rPr>
        <sz val="11"/>
        <rFont val="Microsoft YaHei"/>
        <family val="2"/>
        <charset val="134"/>
      </rPr>
      <t>)</t>
    </r>
  </si>
  <si>
    <r>
      <rPr>
        <sz val="11"/>
        <rFont val="DejaVu Sans"/>
        <family val="2"/>
      </rPr>
      <t>封装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继承</t>
    </r>
    <r>
      <rPr>
        <sz val="11"/>
        <rFont val="Microsoft YaHei"/>
        <family val="2"/>
        <charset val="134"/>
      </rPr>
      <t>/</t>
    </r>
    <r>
      <rPr>
        <sz val="11"/>
        <rFont val="DejaVu Sans"/>
        <family val="2"/>
      </rPr>
      <t>多态，多态的体现</t>
    </r>
  </si>
  <si>
    <r>
      <rPr>
        <sz val="11"/>
        <rFont val="DejaVu Sans"/>
        <family val="2"/>
      </rPr>
      <t xml:space="preserve">泛型是什么 </t>
    </r>
    <r>
      <rPr>
        <sz val="11"/>
        <rFont val="Microsoft YaHei"/>
        <family val="2"/>
        <charset val="134"/>
      </rPr>
      <t xml:space="preserve">+ </t>
    </r>
    <r>
      <rPr>
        <sz val="11"/>
        <rFont val="DejaVu Sans"/>
        <family val="2"/>
      </rPr>
      <t>类型擦除</t>
    </r>
  </si>
  <si>
    <t>题数</t>
  </si>
  <si>
    <t>眼熟</t>
  </si>
  <si>
    <t>能讲框架</t>
  </si>
  <si>
    <t>能扛追问</t>
  </si>
  <si>
    <r>
      <rPr>
        <b/>
        <sz val="11"/>
        <rFont val="DejaVu Sans"/>
        <family val="2"/>
      </rPr>
      <t>完成率</t>
    </r>
    <r>
      <rPr>
        <b/>
        <sz val="11"/>
        <rFont val="Microsoft YaHei"/>
        <family val="2"/>
        <charset val="134"/>
      </rPr>
      <t>(</t>
    </r>
    <r>
      <rPr>
        <b/>
        <sz val="11"/>
        <rFont val="DejaVu Sans"/>
        <family val="2"/>
      </rPr>
      <t>能讲</t>
    </r>
    <r>
      <rPr>
        <b/>
        <sz val="11"/>
        <rFont val="Microsoft YaHei"/>
        <family val="2"/>
        <charset val="134"/>
      </rPr>
      <t>+</t>
    </r>
    <r>
      <rPr>
        <b/>
        <sz val="11"/>
        <rFont val="DejaVu Sans"/>
        <family val="2"/>
      </rPr>
      <t>能扛</t>
    </r>
    <r>
      <rPr>
        <b/>
        <sz val="11"/>
        <rFont val="Microsoft YaHei"/>
        <family val="2"/>
        <charset val="134"/>
      </rPr>
      <t>)</t>
    </r>
  </si>
  <si>
    <t>合计</t>
  </si>
  <si>
    <r>
      <rPr>
        <b/>
        <sz val="14"/>
        <color rgb="FF2F5597"/>
        <rFont val="DejaVu Sans"/>
        <family val="2"/>
      </rPr>
      <t xml:space="preserve">秋招后端必背清单 </t>
    </r>
    <r>
      <rPr>
        <b/>
        <sz val="14"/>
        <color rgb="FF2F5597"/>
        <rFont val="Microsoft YaHei"/>
        <family val="2"/>
        <charset val="134"/>
      </rPr>
      <t xml:space="preserve">· </t>
    </r>
    <r>
      <rPr>
        <b/>
        <sz val="14"/>
        <color rgb="FF2F5597"/>
        <rFont val="DejaVu Sans"/>
        <family val="2"/>
      </rPr>
      <t>打卡表</t>
    </r>
  </si>
  <si>
    <t>怎么用</t>
  </si>
  <si>
    <t>1</t>
  </si>
  <si>
    <r>
      <rPr>
        <sz val="11"/>
        <rFont val="DejaVu Sans"/>
        <family val="2"/>
      </rPr>
      <t xml:space="preserve">「建议日期」列已按优先级排好计划：每天 </t>
    </r>
    <r>
      <rPr>
        <sz val="11"/>
        <rFont val="Microsoft YaHei"/>
        <family val="2"/>
        <charset val="134"/>
      </rPr>
      <t xml:space="preserve">10 </t>
    </r>
    <r>
      <rPr>
        <sz val="11"/>
        <rFont val="DejaVu Sans"/>
        <family val="2"/>
      </rPr>
      <t xml:space="preserve">题，从 </t>
    </r>
    <r>
      <rPr>
        <sz val="11"/>
        <rFont val="Microsoft YaHei"/>
        <family val="2"/>
        <charset val="134"/>
      </rPr>
      <t xml:space="preserve">6/10 </t>
    </r>
    <r>
      <rPr>
        <sz val="11"/>
        <rFont val="DejaVu Sans"/>
        <family val="2"/>
      </rPr>
      <t>开始，约两周过完第一遍。跟着日期打卡即可。</t>
    </r>
  </si>
  <si>
    <t>2</t>
  </si>
  <si>
    <t>每过一道题，更新「掌握程度」列（点单元格有下拉），四档：未开始→眼熟→能讲框架→能扛追问。</t>
  </si>
  <si>
    <t>3</t>
  </si>
  <si>
    <r>
      <rPr>
        <sz val="11"/>
        <rFont val="DejaVu Sans"/>
        <family val="2"/>
      </rPr>
      <t>目标是把每题推到「能扛追问」。每复习一次「复习次数」</t>
    </r>
    <r>
      <rPr>
        <sz val="11"/>
        <rFont val="Microsoft YaHei"/>
        <family val="2"/>
        <charset val="134"/>
      </rPr>
      <t>+1</t>
    </r>
    <r>
      <rPr>
        <sz val="11"/>
        <rFont val="DejaVu Sans"/>
        <family val="2"/>
      </rPr>
      <t xml:space="preserve">，同一题建议滚动 </t>
    </r>
    <r>
      <rPr>
        <sz val="11"/>
        <rFont val="Microsoft YaHei"/>
        <family val="2"/>
        <charset val="134"/>
      </rPr>
      <t xml:space="preserve">3 </t>
    </r>
    <r>
      <rPr>
        <sz val="11"/>
        <rFont val="DejaVu Sans"/>
        <family val="2"/>
      </rPr>
      <t>遍以上。</t>
    </r>
  </si>
  <si>
    <t>4</t>
  </si>
  <si>
    <r>
      <rPr>
        <sz val="11"/>
        <rFont val="DejaVu Sans"/>
        <family val="2"/>
      </rPr>
      <t xml:space="preserve">「上次复习日期」配合间隔重复：隔 </t>
    </r>
    <r>
      <rPr>
        <sz val="11"/>
        <rFont val="Microsoft YaHei"/>
        <family val="2"/>
        <charset val="134"/>
      </rPr>
      <t xml:space="preserve">1 </t>
    </r>
    <r>
      <rPr>
        <sz val="11"/>
        <rFont val="DejaVu Sans"/>
        <family val="2"/>
      </rPr>
      <t>天、</t>
    </r>
    <r>
      <rPr>
        <sz val="11"/>
        <rFont val="Microsoft YaHei"/>
        <family val="2"/>
        <charset val="134"/>
      </rPr>
      <t xml:space="preserve">3 </t>
    </r>
    <r>
      <rPr>
        <sz val="11"/>
        <rFont val="DejaVu Sans"/>
        <family val="2"/>
      </rPr>
      <t>天、</t>
    </r>
    <r>
      <rPr>
        <sz val="11"/>
        <rFont val="Microsoft YaHei"/>
        <family val="2"/>
        <charset val="134"/>
      </rPr>
      <t xml:space="preserve">7 </t>
    </r>
    <r>
      <rPr>
        <sz val="11"/>
        <rFont val="DejaVu Sans"/>
        <family val="2"/>
      </rPr>
      <t>天各回顾一次。</t>
    </r>
  </si>
  <si>
    <t>5</t>
  </si>
  <si>
    <t>「进度统计」自动汇总各板块完成率，一眼看到哪块还薄弱。</t>
  </si>
  <si>
    <t>计划说明</t>
  </si>
  <si>
    <r>
      <rPr>
        <sz val="11"/>
        <rFont val="DejaVu Sans"/>
        <family val="2"/>
      </rPr>
      <t>第一遍最慢（理解</t>
    </r>
    <r>
      <rPr>
        <sz val="11"/>
        <rFont val="Microsoft YaHei"/>
        <family val="2"/>
        <charset val="134"/>
      </rPr>
      <t>+</t>
    </r>
    <r>
      <rPr>
        <sz val="11"/>
        <rFont val="DejaVu Sans"/>
        <family val="2"/>
      </rPr>
      <t>自己讲一遍）；二刷只默写卡壳题，速度翻几倍。别等背完再面试，前几场面试就是最好的复习。</t>
    </r>
  </si>
  <si>
    <t>复习优先级</t>
  </si>
  <si>
    <r>
      <rPr>
        <sz val="11"/>
        <rFont val="DejaVu Sans"/>
        <family val="2"/>
      </rPr>
      <t>集合≈并发＞</t>
    </r>
    <r>
      <rPr>
        <sz val="11"/>
        <rFont val="Microsoft YaHei"/>
        <family val="2"/>
        <charset val="134"/>
      </rPr>
      <t>MySQL≈JVM</t>
    </r>
    <r>
      <rPr>
        <sz val="11"/>
        <rFont val="DejaVu Sans"/>
        <family val="2"/>
      </rPr>
      <t>＞</t>
    </r>
    <r>
      <rPr>
        <sz val="11"/>
        <rFont val="Microsoft YaHei"/>
        <family val="2"/>
        <charset val="134"/>
      </rPr>
      <t>Spring</t>
    </r>
    <r>
      <rPr>
        <sz val="11"/>
        <rFont val="DejaVu Sans"/>
        <family val="2"/>
      </rPr>
      <t>＞网络＞</t>
    </r>
    <r>
      <rPr>
        <sz val="11"/>
        <rFont val="Microsoft YaHei"/>
        <family val="2"/>
        <charset val="134"/>
      </rPr>
      <t>Redis</t>
    </r>
    <r>
      <rPr>
        <sz val="11"/>
        <rFont val="DejaVu Sans"/>
        <family val="2"/>
      </rPr>
      <t>＞扩展＞操作系统＞</t>
    </r>
    <r>
      <rPr>
        <sz val="11"/>
        <rFont val="Microsoft YaHei"/>
        <family val="2"/>
        <charset val="134"/>
      </rPr>
      <t>Java</t>
    </r>
    <r>
      <rPr>
        <sz val="11"/>
        <rFont val="DejaVu Sans"/>
        <family val="2"/>
      </rPr>
      <t>基础</t>
    </r>
  </si>
  <si>
    <t>配套文档</t>
  </si>
  <si>
    <r>
      <rPr>
        <sz val="11"/>
        <rFont val="DejaVu Sans"/>
        <family val="2"/>
      </rPr>
      <t>《秋招后端八股必背清单</t>
    </r>
    <r>
      <rPr>
        <sz val="11"/>
        <rFont val="Microsoft YaHei"/>
        <family val="2"/>
        <charset val="134"/>
      </rPr>
      <t>.md</t>
    </r>
    <r>
      <rPr>
        <sz val="11"/>
        <rFont val="DejaVu Sans"/>
        <family val="2"/>
      </rPr>
      <t>》</t>
    </r>
    <r>
      <rPr>
        <sz val="11"/>
        <rFont val="Microsoft YaHei"/>
        <family val="2"/>
        <charset val="134"/>
      </rPr>
      <t xml:space="preserve">= </t>
    </r>
    <r>
      <rPr>
        <sz val="11"/>
        <rFont val="DejaVu Sans"/>
        <family val="2"/>
      </rPr>
      <t>分档清单；《秋招必背答案</t>
    </r>
    <r>
      <rPr>
        <sz val="11"/>
        <rFont val="Microsoft YaHei"/>
        <family val="2"/>
        <charset val="134"/>
      </rPr>
      <t>.md</t>
    </r>
    <r>
      <rPr>
        <sz val="11"/>
        <rFont val="DejaVu Sans"/>
        <family val="2"/>
      </rPr>
      <t>》</t>
    </r>
    <r>
      <rPr>
        <sz val="11"/>
        <rFont val="Microsoft YaHei"/>
        <family val="2"/>
        <charset val="134"/>
      </rPr>
      <t xml:space="preserve">= </t>
    </r>
    <r>
      <rPr>
        <sz val="11"/>
        <rFont val="DejaVu Sans"/>
        <family val="2"/>
      </rPr>
      <t>每题口述答案</t>
    </r>
  </si>
  <si>
    <t>共计</t>
  </si>
  <si>
    <r>
      <rPr>
        <sz val="11"/>
        <rFont val="Microsoft YaHei"/>
        <family val="2"/>
        <charset val="134"/>
      </rPr>
      <t xml:space="preserve">132 </t>
    </r>
    <r>
      <rPr>
        <sz val="11"/>
        <rFont val="DejaVu Sans"/>
        <family val="2"/>
      </rPr>
      <t>道 ⭐ 必背题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</si>
</sst>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1"/>
      <color rgb="FFFFFFFF"/>
      <name val="DejaVu Sans"/>
      <family val="2"/>
    </font>
    <font>
      <sz val="11"/>
      <name val="DejaVu Sans"/>
      <family val="2"/>
    </font>
    <font>
      <sz val="11"/>
      <name val="Microsoft YaHei"/>
      <family val="2"/>
      <charset val="134"/>
    </font>
    <font>
      <b/>
      <sz val="11"/>
      <name val="DejaVu Sans"/>
      <family val="2"/>
    </font>
    <font>
      <b/>
      <sz val="11"/>
      <name val="Microsoft YaHei"/>
      <family val="2"/>
      <charset val="134"/>
    </font>
    <font>
      <b/>
      <sz val="14"/>
      <color rgb="FF2F5597"/>
      <name val="DejaVu Sans"/>
      <family val="2"/>
    </font>
    <font>
      <b/>
      <sz val="14"/>
      <color rgb="FF2F5597"/>
      <name val="Microsoft YaHei"/>
      <family val="2"/>
      <charset val="134"/>
    </font>
    <font>
      <sz val="9"/>
      <name val="FangSong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AD3"/>
      </patternFill>
    </fill>
    <fill>
      <patternFill patternType="solid">
        <fgColor rgb="FFDDEBF7"/>
        <bgColor rgb="FFE2EFDA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4">
    <dxf>
      <fill>
        <patternFill>
          <bgColor rgb="FFA9D08E"/>
        </patternFill>
      </fill>
    </dxf>
    <dxf>
      <fill>
        <patternFill>
          <bgColor rgb="FFD9EAD3"/>
        </patternFill>
      </fill>
    </dxf>
    <dxf>
      <fill>
        <patternFill>
          <bgColor rgb="FFFCE4A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4A6"/>
      <rgbColor rgb="FFD9D9D9"/>
      <rgbColor rgb="FFEAD1DC"/>
      <rgbColor rgb="FFFCE4D6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baseColWidth="10" defaultColWidth="8.6640625" defaultRowHeight="15"/>
  <cols>
    <col min="1" max="1" width="20" customWidth="1"/>
    <col min="2" max="2" width="6" customWidth="1"/>
    <col min="3" max="3" width="14" customWidth="1"/>
    <col min="4" max="4" width="44" customWidth="1"/>
    <col min="5" max="5" width="12" customWidth="1"/>
    <col min="6" max="6" width="10" customWidth="1"/>
    <col min="7" max="7" width="16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>
      <c r="A2" s="2" t="s">
        <v>8</v>
      </c>
      <c r="B2" s="3">
        <v>1</v>
      </c>
      <c r="C2" s="3" t="s">
        <v>9</v>
      </c>
      <c r="D2" s="4" t="s">
        <v>10</v>
      </c>
      <c r="E2" s="5" t="s">
        <v>11</v>
      </c>
      <c r="F2" s="3">
        <v>0</v>
      </c>
      <c r="G2" s="3"/>
      <c r="H2" s="6"/>
    </row>
    <row r="3" spans="1:8" ht="18">
      <c r="A3" s="2" t="s">
        <v>8</v>
      </c>
      <c r="B3" s="3">
        <v>2</v>
      </c>
      <c r="C3" s="3" t="s">
        <v>9</v>
      </c>
      <c r="D3" s="4" t="s">
        <v>12</v>
      </c>
      <c r="E3" s="5" t="s">
        <v>11</v>
      </c>
      <c r="F3" s="3">
        <v>0</v>
      </c>
      <c r="G3" s="3"/>
      <c r="H3" s="6"/>
    </row>
    <row r="4" spans="1:8" ht="18">
      <c r="A4" s="2" t="s">
        <v>8</v>
      </c>
      <c r="B4" s="3">
        <v>3</v>
      </c>
      <c r="C4" s="3" t="s">
        <v>9</v>
      </c>
      <c r="D4" s="4" t="s">
        <v>13</v>
      </c>
      <c r="E4" s="5" t="s">
        <v>11</v>
      </c>
      <c r="F4" s="3">
        <v>0</v>
      </c>
      <c r="G4" s="3"/>
      <c r="H4" s="6"/>
    </row>
    <row r="5" spans="1:8" ht="18">
      <c r="A5" s="2" t="s">
        <v>8</v>
      </c>
      <c r="B5" s="3">
        <v>4</v>
      </c>
      <c r="C5" s="3" t="s">
        <v>9</v>
      </c>
      <c r="D5" s="7" t="s">
        <v>14</v>
      </c>
      <c r="E5" s="5" t="s">
        <v>11</v>
      </c>
      <c r="F5" s="3">
        <v>0</v>
      </c>
      <c r="G5" s="3"/>
      <c r="H5" s="6"/>
    </row>
    <row r="6" spans="1:8" ht="18">
      <c r="A6" s="2" t="s">
        <v>8</v>
      </c>
      <c r="B6" s="3">
        <v>5</v>
      </c>
      <c r="C6" s="3" t="s">
        <v>9</v>
      </c>
      <c r="D6" s="7" t="s">
        <v>15</v>
      </c>
      <c r="E6" s="5" t="s">
        <v>11</v>
      </c>
      <c r="F6" s="3">
        <v>0</v>
      </c>
      <c r="G6" s="3"/>
      <c r="H6" s="6"/>
    </row>
    <row r="7" spans="1:8" ht="17">
      <c r="A7" s="2" t="s">
        <v>8</v>
      </c>
      <c r="B7" s="3">
        <v>6</v>
      </c>
      <c r="C7" s="3" t="s">
        <v>9</v>
      </c>
      <c r="D7" s="7" t="s">
        <v>16</v>
      </c>
      <c r="E7" s="5" t="s">
        <v>11</v>
      </c>
      <c r="F7" s="3">
        <v>0</v>
      </c>
      <c r="G7" s="3"/>
      <c r="H7" s="6"/>
    </row>
    <row r="8" spans="1:8" ht="18">
      <c r="A8" s="2" t="s">
        <v>8</v>
      </c>
      <c r="B8" s="3">
        <v>7</v>
      </c>
      <c r="C8" s="3" t="s">
        <v>9</v>
      </c>
      <c r="D8" s="4" t="s">
        <v>17</v>
      </c>
      <c r="E8" s="5" t="s">
        <v>11</v>
      </c>
      <c r="F8" s="3">
        <v>0</v>
      </c>
      <c r="G8" s="3"/>
      <c r="H8" s="6"/>
    </row>
    <row r="9" spans="1:8" ht="18">
      <c r="A9" s="2" t="s">
        <v>8</v>
      </c>
      <c r="B9" s="3">
        <v>8</v>
      </c>
      <c r="C9" s="3" t="s">
        <v>9</v>
      </c>
      <c r="D9" s="7" t="s">
        <v>18</v>
      </c>
      <c r="E9" s="5" t="s">
        <v>11</v>
      </c>
      <c r="F9" s="3">
        <v>0</v>
      </c>
      <c r="G9" s="3"/>
      <c r="H9" s="6"/>
    </row>
    <row r="10" spans="1:8" ht="18">
      <c r="A10" s="2" t="s">
        <v>8</v>
      </c>
      <c r="B10" s="3">
        <v>9</v>
      </c>
      <c r="C10" s="3" t="s">
        <v>9</v>
      </c>
      <c r="D10" s="4" t="s">
        <v>19</v>
      </c>
      <c r="E10" s="5" t="s">
        <v>11</v>
      </c>
      <c r="F10" s="3">
        <v>0</v>
      </c>
      <c r="G10" s="3"/>
      <c r="H10" s="6"/>
    </row>
    <row r="11" spans="1:8" ht="18">
      <c r="A11" s="2" t="s">
        <v>8</v>
      </c>
      <c r="B11" s="3">
        <v>10</v>
      </c>
      <c r="C11" s="3" t="s">
        <v>9</v>
      </c>
      <c r="D11" s="4" t="s">
        <v>20</v>
      </c>
      <c r="E11" s="5" t="s">
        <v>11</v>
      </c>
      <c r="F11" s="3">
        <v>0</v>
      </c>
      <c r="G11" s="3"/>
      <c r="H11" s="6"/>
    </row>
    <row r="12" spans="1:8" ht="18">
      <c r="A12" s="2" t="s">
        <v>8</v>
      </c>
      <c r="B12" s="3">
        <v>11</v>
      </c>
      <c r="C12" s="3" t="s">
        <v>21</v>
      </c>
      <c r="D12" s="4" t="s">
        <v>22</v>
      </c>
      <c r="E12" s="5" t="s">
        <v>11</v>
      </c>
      <c r="F12" s="3">
        <v>0</v>
      </c>
      <c r="G12" s="3"/>
      <c r="H12" s="6"/>
    </row>
    <row r="13" spans="1:8" ht="18">
      <c r="A13" s="2" t="s">
        <v>8</v>
      </c>
      <c r="B13" s="3">
        <v>12</v>
      </c>
      <c r="C13" s="3" t="s">
        <v>21</v>
      </c>
      <c r="D13" s="7" t="s">
        <v>23</v>
      </c>
      <c r="E13" s="5" t="s">
        <v>11</v>
      </c>
      <c r="F13" s="3">
        <v>0</v>
      </c>
      <c r="G13" s="3"/>
      <c r="H13" s="6"/>
    </row>
    <row r="14" spans="1:8" ht="18">
      <c r="A14" s="2" t="s">
        <v>8</v>
      </c>
      <c r="B14" s="3">
        <v>13</v>
      </c>
      <c r="C14" s="3" t="s">
        <v>21</v>
      </c>
      <c r="D14" s="4" t="s">
        <v>24</v>
      </c>
      <c r="E14" s="5" t="s">
        <v>11</v>
      </c>
      <c r="F14" s="3">
        <v>0</v>
      </c>
      <c r="G14" s="3"/>
      <c r="H14" s="6"/>
    </row>
    <row r="15" spans="1:8" ht="18">
      <c r="A15" s="2" t="s">
        <v>8</v>
      </c>
      <c r="B15" s="3">
        <v>14</v>
      </c>
      <c r="C15" s="3" t="s">
        <v>21</v>
      </c>
      <c r="D15" s="4" t="s">
        <v>25</v>
      </c>
      <c r="E15" s="5" t="s">
        <v>11</v>
      </c>
      <c r="F15" s="3">
        <v>0</v>
      </c>
      <c r="G15" s="3"/>
      <c r="H15" s="6"/>
    </row>
    <row r="16" spans="1:8" ht="18">
      <c r="A16" s="2" t="s">
        <v>8</v>
      </c>
      <c r="B16" s="3">
        <v>15</v>
      </c>
      <c r="C16" s="3" t="s">
        <v>21</v>
      </c>
      <c r="D16" s="4" t="s">
        <v>26</v>
      </c>
      <c r="E16" s="5" t="s">
        <v>11</v>
      </c>
      <c r="F16" s="3">
        <v>0</v>
      </c>
      <c r="G16" s="3"/>
      <c r="H16" s="6"/>
    </row>
    <row r="17" spans="1:8" ht="18">
      <c r="A17" s="2" t="s">
        <v>8</v>
      </c>
      <c r="B17" s="3">
        <v>16</v>
      </c>
      <c r="C17" s="3" t="s">
        <v>21</v>
      </c>
      <c r="D17" s="4" t="s">
        <v>27</v>
      </c>
      <c r="E17" s="5" t="s">
        <v>11</v>
      </c>
      <c r="F17" s="3">
        <v>0</v>
      </c>
      <c r="G17" s="3"/>
      <c r="H17" s="6"/>
    </row>
    <row r="18" spans="1:8" ht="18">
      <c r="A18" s="8" t="s">
        <v>28</v>
      </c>
      <c r="B18" s="3">
        <v>1</v>
      </c>
      <c r="C18" s="3" t="s">
        <v>21</v>
      </c>
      <c r="D18" s="4" t="s">
        <v>29</v>
      </c>
      <c r="E18" s="5" t="s">
        <v>11</v>
      </c>
      <c r="F18" s="3">
        <v>0</v>
      </c>
      <c r="G18" s="3"/>
      <c r="H18" s="6"/>
    </row>
    <row r="19" spans="1:8" ht="17">
      <c r="A19" s="8" t="s">
        <v>28</v>
      </c>
      <c r="B19" s="3">
        <v>2</v>
      </c>
      <c r="C19" s="3" t="s">
        <v>21</v>
      </c>
      <c r="D19" s="7" t="s">
        <v>30</v>
      </c>
      <c r="E19" s="5" t="s">
        <v>11</v>
      </c>
      <c r="F19" s="3">
        <v>0</v>
      </c>
      <c r="G19" s="3"/>
      <c r="H19" s="6"/>
    </row>
    <row r="20" spans="1:8" ht="17">
      <c r="A20" s="8" t="s">
        <v>28</v>
      </c>
      <c r="B20" s="3">
        <v>3</v>
      </c>
      <c r="C20" s="3" t="s">
        <v>21</v>
      </c>
      <c r="D20" s="7" t="s">
        <v>31</v>
      </c>
      <c r="E20" s="5" t="s">
        <v>11</v>
      </c>
      <c r="F20" s="3">
        <v>0</v>
      </c>
      <c r="G20" s="3"/>
      <c r="H20" s="6"/>
    </row>
    <row r="21" spans="1:8" ht="18">
      <c r="A21" s="8" t="s">
        <v>28</v>
      </c>
      <c r="B21" s="3">
        <v>4</v>
      </c>
      <c r="C21" s="3" t="s">
        <v>21</v>
      </c>
      <c r="D21" s="4" t="s">
        <v>32</v>
      </c>
      <c r="E21" s="5" t="s">
        <v>11</v>
      </c>
      <c r="F21" s="3">
        <v>0</v>
      </c>
      <c r="G21" s="3"/>
      <c r="H21" s="6"/>
    </row>
    <row r="22" spans="1:8" ht="18">
      <c r="A22" s="8" t="s">
        <v>28</v>
      </c>
      <c r="B22" s="3">
        <v>5</v>
      </c>
      <c r="C22" s="3" t="s">
        <v>33</v>
      </c>
      <c r="D22" s="4" t="s">
        <v>34</v>
      </c>
      <c r="E22" s="5" t="s">
        <v>11</v>
      </c>
      <c r="F22" s="3">
        <v>0</v>
      </c>
      <c r="G22" s="3"/>
      <c r="H22" s="6"/>
    </row>
    <row r="23" spans="1:8" ht="17">
      <c r="A23" s="8" t="s">
        <v>28</v>
      </c>
      <c r="B23" s="3">
        <v>6</v>
      </c>
      <c r="C23" s="3" t="s">
        <v>33</v>
      </c>
      <c r="D23" s="7" t="s">
        <v>35</v>
      </c>
      <c r="E23" s="5" t="s">
        <v>11</v>
      </c>
      <c r="F23" s="3">
        <v>0</v>
      </c>
      <c r="G23" s="3"/>
      <c r="H23" s="6"/>
    </row>
    <row r="24" spans="1:8" ht="18">
      <c r="A24" s="8" t="s">
        <v>28</v>
      </c>
      <c r="B24" s="3">
        <v>7</v>
      </c>
      <c r="C24" s="3" t="s">
        <v>33</v>
      </c>
      <c r="D24" s="4" t="s">
        <v>36</v>
      </c>
      <c r="E24" s="5" t="s">
        <v>11</v>
      </c>
      <c r="F24" s="3">
        <v>0</v>
      </c>
      <c r="G24" s="3"/>
      <c r="H24" s="6"/>
    </row>
    <row r="25" spans="1:8" ht="18">
      <c r="A25" s="8" t="s">
        <v>28</v>
      </c>
      <c r="B25" s="3">
        <v>8</v>
      </c>
      <c r="C25" s="3" t="s">
        <v>33</v>
      </c>
      <c r="D25" s="4" t="s">
        <v>37</v>
      </c>
      <c r="E25" s="5" t="s">
        <v>11</v>
      </c>
      <c r="F25" s="3">
        <v>0</v>
      </c>
      <c r="G25" s="3"/>
      <c r="H25" s="6"/>
    </row>
    <row r="26" spans="1:8" ht="18">
      <c r="A26" s="8" t="s">
        <v>28</v>
      </c>
      <c r="B26" s="3">
        <v>9</v>
      </c>
      <c r="C26" s="3" t="s">
        <v>33</v>
      </c>
      <c r="D26" s="4" t="s">
        <v>38</v>
      </c>
      <c r="E26" s="5" t="s">
        <v>11</v>
      </c>
      <c r="F26" s="3">
        <v>0</v>
      </c>
      <c r="G26" s="3"/>
      <c r="H26" s="6"/>
    </row>
    <row r="27" spans="1:8" ht="18">
      <c r="A27" s="8" t="s">
        <v>28</v>
      </c>
      <c r="B27" s="3">
        <v>10</v>
      </c>
      <c r="C27" s="3" t="s">
        <v>33</v>
      </c>
      <c r="D27" s="4" t="s">
        <v>39</v>
      </c>
      <c r="E27" s="5" t="s">
        <v>11</v>
      </c>
      <c r="F27" s="3">
        <v>0</v>
      </c>
      <c r="G27" s="3"/>
      <c r="H27" s="6"/>
    </row>
    <row r="28" spans="1:8" ht="18">
      <c r="A28" s="8" t="s">
        <v>28</v>
      </c>
      <c r="B28" s="3">
        <v>11</v>
      </c>
      <c r="C28" s="3" t="s">
        <v>33</v>
      </c>
      <c r="D28" s="7" t="s">
        <v>40</v>
      </c>
      <c r="E28" s="5" t="s">
        <v>11</v>
      </c>
      <c r="F28" s="3">
        <v>0</v>
      </c>
      <c r="G28" s="3"/>
      <c r="H28" s="6"/>
    </row>
    <row r="29" spans="1:8" ht="18">
      <c r="A29" s="8" t="s">
        <v>28</v>
      </c>
      <c r="B29" s="3">
        <v>12</v>
      </c>
      <c r="C29" s="3" t="s">
        <v>33</v>
      </c>
      <c r="D29" s="4" t="s">
        <v>41</v>
      </c>
      <c r="E29" s="5" t="s">
        <v>11</v>
      </c>
      <c r="F29" s="3">
        <v>0</v>
      </c>
      <c r="G29" s="3"/>
      <c r="H29" s="6"/>
    </row>
    <row r="30" spans="1:8" ht="18">
      <c r="A30" s="9" t="s">
        <v>42</v>
      </c>
      <c r="B30" s="3">
        <v>1</v>
      </c>
      <c r="C30" s="3" t="s">
        <v>33</v>
      </c>
      <c r="D30" s="7" t="s">
        <v>43</v>
      </c>
      <c r="E30" s="5" t="s">
        <v>11</v>
      </c>
      <c r="F30" s="3">
        <v>0</v>
      </c>
      <c r="G30" s="3"/>
      <c r="H30" s="6"/>
    </row>
    <row r="31" spans="1:8" ht="18">
      <c r="A31" s="9" t="s">
        <v>42</v>
      </c>
      <c r="B31" s="3">
        <v>2</v>
      </c>
      <c r="C31" s="3" t="s">
        <v>33</v>
      </c>
      <c r="D31" s="7" t="s">
        <v>44</v>
      </c>
      <c r="E31" s="5" t="s">
        <v>11</v>
      </c>
      <c r="F31" s="3">
        <v>0</v>
      </c>
      <c r="G31" s="3"/>
      <c r="H31" s="6"/>
    </row>
    <row r="32" spans="1:8" ht="18">
      <c r="A32" s="9" t="s">
        <v>42</v>
      </c>
      <c r="B32" s="3">
        <v>3</v>
      </c>
      <c r="C32" s="3" t="s">
        <v>45</v>
      </c>
      <c r="D32" s="7" t="s">
        <v>46</v>
      </c>
      <c r="E32" s="5" t="s">
        <v>11</v>
      </c>
      <c r="F32" s="3">
        <v>0</v>
      </c>
      <c r="G32" s="3"/>
      <c r="H32" s="6"/>
    </row>
    <row r="33" spans="1:8" ht="17">
      <c r="A33" s="9" t="s">
        <v>42</v>
      </c>
      <c r="B33" s="3">
        <v>4</v>
      </c>
      <c r="C33" s="3" t="s">
        <v>45</v>
      </c>
      <c r="D33" s="7" t="s">
        <v>47</v>
      </c>
      <c r="E33" s="5" t="s">
        <v>11</v>
      </c>
      <c r="F33" s="3">
        <v>0</v>
      </c>
      <c r="G33" s="3"/>
      <c r="H33" s="6"/>
    </row>
    <row r="34" spans="1:8" ht="18">
      <c r="A34" s="9" t="s">
        <v>42</v>
      </c>
      <c r="B34" s="3">
        <v>5</v>
      </c>
      <c r="C34" s="3" t="s">
        <v>45</v>
      </c>
      <c r="D34" s="7" t="s">
        <v>48</v>
      </c>
      <c r="E34" s="5" t="s">
        <v>11</v>
      </c>
      <c r="F34" s="3">
        <v>0</v>
      </c>
      <c r="G34" s="3"/>
      <c r="H34" s="6"/>
    </row>
    <row r="35" spans="1:8" ht="18">
      <c r="A35" s="9" t="s">
        <v>42</v>
      </c>
      <c r="B35" s="3">
        <v>6</v>
      </c>
      <c r="C35" s="3" t="s">
        <v>45</v>
      </c>
      <c r="D35" s="7" t="s">
        <v>49</v>
      </c>
      <c r="E35" s="5" t="s">
        <v>11</v>
      </c>
      <c r="F35" s="3">
        <v>0</v>
      </c>
      <c r="G35" s="3"/>
      <c r="H35" s="6"/>
    </row>
    <row r="36" spans="1:8" ht="18">
      <c r="A36" s="9" t="s">
        <v>42</v>
      </c>
      <c r="B36" s="3">
        <v>7</v>
      </c>
      <c r="C36" s="3" t="s">
        <v>45</v>
      </c>
      <c r="D36" s="7" t="s">
        <v>50</v>
      </c>
      <c r="E36" s="5" t="s">
        <v>11</v>
      </c>
      <c r="F36" s="3">
        <v>0</v>
      </c>
      <c r="G36" s="3"/>
      <c r="H36" s="6"/>
    </row>
    <row r="37" spans="1:8" ht="18">
      <c r="A37" s="9" t="s">
        <v>42</v>
      </c>
      <c r="B37" s="3">
        <v>8</v>
      </c>
      <c r="C37" s="3" t="s">
        <v>45</v>
      </c>
      <c r="D37" s="4" t="s">
        <v>51</v>
      </c>
      <c r="E37" s="5" t="s">
        <v>11</v>
      </c>
      <c r="F37" s="3">
        <v>0</v>
      </c>
      <c r="G37" s="3"/>
      <c r="H37" s="6"/>
    </row>
    <row r="38" spans="1:8" ht="18">
      <c r="A38" s="9" t="s">
        <v>42</v>
      </c>
      <c r="B38" s="3">
        <v>9</v>
      </c>
      <c r="C38" s="3" t="s">
        <v>45</v>
      </c>
      <c r="D38" s="4" t="s">
        <v>52</v>
      </c>
      <c r="E38" s="5" t="s">
        <v>11</v>
      </c>
      <c r="F38" s="3">
        <v>0</v>
      </c>
      <c r="G38" s="3"/>
      <c r="H38" s="6"/>
    </row>
    <row r="39" spans="1:8" ht="18">
      <c r="A39" s="9" t="s">
        <v>42</v>
      </c>
      <c r="B39" s="3">
        <v>10</v>
      </c>
      <c r="C39" s="3" t="s">
        <v>45</v>
      </c>
      <c r="D39" s="4" t="s">
        <v>53</v>
      </c>
      <c r="E39" s="5" t="s">
        <v>11</v>
      </c>
      <c r="F39" s="3">
        <v>0</v>
      </c>
      <c r="G39" s="3"/>
      <c r="H39" s="6"/>
    </row>
    <row r="40" spans="1:8" ht="18">
      <c r="A40" s="9" t="s">
        <v>42</v>
      </c>
      <c r="B40" s="3">
        <v>11</v>
      </c>
      <c r="C40" s="3" t="s">
        <v>45</v>
      </c>
      <c r="D40" s="4" t="s">
        <v>54</v>
      </c>
      <c r="E40" s="5" t="s">
        <v>11</v>
      </c>
      <c r="F40" s="3">
        <v>0</v>
      </c>
      <c r="G40" s="3"/>
      <c r="H40" s="6"/>
    </row>
    <row r="41" spans="1:8" ht="18">
      <c r="A41" s="9" t="s">
        <v>42</v>
      </c>
      <c r="B41" s="3">
        <v>12</v>
      </c>
      <c r="C41" s="3" t="s">
        <v>45</v>
      </c>
      <c r="D41" s="7" t="s">
        <v>55</v>
      </c>
      <c r="E41" s="5" t="s">
        <v>11</v>
      </c>
      <c r="F41" s="3">
        <v>0</v>
      </c>
      <c r="G41" s="3"/>
      <c r="H41" s="6"/>
    </row>
    <row r="42" spans="1:8" ht="18">
      <c r="A42" s="9" t="s">
        <v>42</v>
      </c>
      <c r="B42" s="3">
        <v>13</v>
      </c>
      <c r="C42" s="3" t="s">
        <v>56</v>
      </c>
      <c r="D42" s="4" t="s">
        <v>57</v>
      </c>
      <c r="E42" s="5" t="s">
        <v>11</v>
      </c>
      <c r="F42" s="3">
        <v>0</v>
      </c>
      <c r="G42" s="3"/>
      <c r="H42" s="6"/>
    </row>
    <row r="43" spans="1:8" ht="18">
      <c r="A43" s="9" t="s">
        <v>42</v>
      </c>
      <c r="B43" s="3">
        <v>14</v>
      </c>
      <c r="C43" s="3" t="s">
        <v>56</v>
      </c>
      <c r="D43" s="4" t="s">
        <v>58</v>
      </c>
      <c r="E43" s="5" t="s">
        <v>11</v>
      </c>
      <c r="F43" s="3">
        <v>0</v>
      </c>
      <c r="G43" s="3"/>
      <c r="H43" s="6"/>
    </row>
    <row r="44" spans="1:8" ht="18">
      <c r="A44" s="9" t="s">
        <v>42</v>
      </c>
      <c r="B44" s="3">
        <v>15</v>
      </c>
      <c r="C44" s="3" t="s">
        <v>56</v>
      </c>
      <c r="D44" s="4" t="s">
        <v>59</v>
      </c>
      <c r="E44" s="5" t="s">
        <v>11</v>
      </c>
      <c r="F44" s="3">
        <v>0</v>
      </c>
      <c r="G44" s="3"/>
      <c r="H44" s="6"/>
    </row>
    <row r="45" spans="1:8" ht="17">
      <c r="A45" s="9" t="s">
        <v>42</v>
      </c>
      <c r="B45" s="3">
        <v>16</v>
      </c>
      <c r="C45" s="3" t="s">
        <v>56</v>
      </c>
      <c r="D45" s="7" t="s">
        <v>60</v>
      </c>
      <c r="E45" s="5" t="s">
        <v>11</v>
      </c>
      <c r="F45" s="3">
        <v>0</v>
      </c>
      <c r="G45" s="3"/>
      <c r="H45" s="6"/>
    </row>
    <row r="46" spans="1:8" ht="18">
      <c r="A46" s="10" t="s">
        <v>61</v>
      </c>
      <c r="B46" s="3">
        <v>1</v>
      </c>
      <c r="C46" s="3" t="s">
        <v>56</v>
      </c>
      <c r="D46" s="4" t="s">
        <v>62</v>
      </c>
      <c r="E46" s="5" t="s">
        <v>11</v>
      </c>
      <c r="F46" s="3">
        <v>0</v>
      </c>
      <c r="G46" s="3"/>
      <c r="H46" s="6"/>
    </row>
    <row r="47" spans="1:8" ht="18">
      <c r="A47" s="10" t="s">
        <v>61</v>
      </c>
      <c r="B47" s="3">
        <v>2</v>
      </c>
      <c r="C47" s="3" t="s">
        <v>56</v>
      </c>
      <c r="D47" s="7" t="s">
        <v>63</v>
      </c>
      <c r="E47" s="5" t="s">
        <v>11</v>
      </c>
      <c r="F47" s="3">
        <v>0</v>
      </c>
      <c r="G47" s="3"/>
      <c r="H47" s="6"/>
    </row>
    <row r="48" spans="1:8" ht="17">
      <c r="A48" s="10" t="s">
        <v>61</v>
      </c>
      <c r="B48" s="3">
        <v>3</v>
      </c>
      <c r="C48" s="3" t="s">
        <v>56</v>
      </c>
      <c r="D48" s="7" t="s">
        <v>64</v>
      </c>
      <c r="E48" s="5" t="s">
        <v>11</v>
      </c>
      <c r="F48" s="3">
        <v>0</v>
      </c>
      <c r="G48" s="3"/>
      <c r="H48" s="6"/>
    </row>
    <row r="49" spans="1:8" ht="17">
      <c r="A49" s="10" t="s">
        <v>61</v>
      </c>
      <c r="B49" s="3">
        <v>4</v>
      </c>
      <c r="C49" s="3" t="s">
        <v>56</v>
      </c>
      <c r="D49" s="7" t="s">
        <v>65</v>
      </c>
      <c r="E49" s="5" t="s">
        <v>11</v>
      </c>
      <c r="F49" s="3">
        <v>0</v>
      </c>
      <c r="G49" s="3"/>
      <c r="H49" s="6"/>
    </row>
    <row r="50" spans="1:8" ht="17">
      <c r="A50" s="10" t="s">
        <v>61</v>
      </c>
      <c r="B50" s="3">
        <v>5</v>
      </c>
      <c r="C50" s="3" t="s">
        <v>56</v>
      </c>
      <c r="D50" s="7" t="s">
        <v>66</v>
      </c>
      <c r="E50" s="5" t="s">
        <v>11</v>
      </c>
      <c r="F50" s="3">
        <v>0</v>
      </c>
      <c r="G50" s="3"/>
      <c r="H50" s="6"/>
    </row>
    <row r="51" spans="1:8" ht="18">
      <c r="A51" s="10" t="s">
        <v>61</v>
      </c>
      <c r="B51" s="3">
        <v>6</v>
      </c>
      <c r="C51" s="3" t="s">
        <v>56</v>
      </c>
      <c r="D51" s="7" t="s">
        <v>67</v>
      </c>
      <c r="E51" s="5" t="s">
        <v>11</v>
      </c>
      <c r="F51" s="3">
        <v>0</v>
      </c>
      <c r="G51" s="3"/>
      <c r="H51" s="6"/>
    </row>
    <row r="52" spans="1:8" ht="17">
      <c r="A52" s="10" t="s">
        <v>61</v>
      </c>
      <c r="B52" s="3">
        <v>7</v>
      </c>
      <c r="C52" s="3" t="s">
        <v>68</v>
      </c>
      <c r="D52" s="7" t="s">
        <v>69</v>
      </c>
      <c r="E52" s="5" t="s">
        <v>11</v>
      </c>
      <c r="F52" s="3">
        <v>0</v>
      </c>
      <c r="G52" s="3"/>
      <c r="H52" s="6"/>
    </row>
    <row r="53" spans="1:8" ht="17">
      <c r="A53" s="10" t="s">
        <v>61</v>
      </c>
      <c r="B53" s="3">
        <v>8</v>
      </c>
      <c r="C53" s="3" t="s">
        <v>68</v>
      </c>
      <c r="D53" s="7" t="s">
        <v>70</v>
      </c>
      <c r="E53" s="5" t="s">
        <v>11</v>
      </c>
      <c r="F53" s="3">
        <v>0</v>
      </c>
      <c r="G53" s="3"/>
      <c r="H53" s="6"/>
    </row>
    <row r="54" spans="1:8" ht="17">
      <c r="A54" s="10" t="s">
        <v>61</v>
      </c>
      <c r="B54" s="3">
        <v>9</v>
      </c>
      <c r="C54" s="3" t="s">
        <v>68</v>
      </c>
      <c r="D54" s="7" t="s">
        <v>71</v>
      </c>
      <c r="E54" s="5" t="s">
        <v>11</v>
      </c>
      <c r="F54" s="3">
        <v>0</v>
      </c>
      <c r="G54" s="3"/>
      <c r="H54" s="6"/>
    </row>
    <row r="55" spans="1:8" ht="18">
      <c r="A55" s="10" t="s">
        <v>61</v>
      </c>
      <c r="B55" s="3">
        <v>10</v>
      </c>
      <c r="C55" s="3" t="s">
        <v>68</v>
      </c>
      <c r="D55" s="7" t="s">
        <v>72</v>
      </c>
      <c r="E55" s="5" t="s">
        <v>11</v>
      </c>
      <c r="F55" s="3">
        <v>0</v>
      </c>
      <c r="G55" s="3"/>
      <c r="H55" s="6"/>
    </row>
    <row r="56" spans="1:8" ht="18">
      <c r="A56" s="10" t="s">
        <v>61</v>
      </c>
      <c r="B56" s="3">
        <v>11</v>
      </c>
      <c r="C56" s="3" t="s">
        <v>68</v>
      </c>
      <c r="D56" s="4" t="s">
        <v>73</v>
      </c>
      <c r="E56" s="5" t="s">
        <v>11</v>
      </c>
      <c r="F56" s="3">
        <v>0</v>
      </c>
      <c r="G56" s="3"/>
      <c r="H56" s="6"/>
    </row>
    <row r="57" spans="1:8" ht="17">
      <c r="A57" s="10" t="s">
        <v>61</v>
      </c>
      <c r="B57" s="3">
        <v>12</v>
      </c>
      <c r="C57" s="3" t="s">
        <v>68</v>
      </c>
      <c r="D57" s="7" t="s">
        <v>74</v>
      </c>
      <c r="E57" s="5" t="s">
        <v>11</v>
      </c>
      <c r="F57" s="3">
        <v>0</v>
      </c>
      <c r="G57" s="3"/>
      <c r="H57" s="6"/>
    </row>
    <row r="58" spans="1:8" ht="18">
      <c r="A58" s="10" t="s">
        <v>61</v>
      </c>
      <c r="B58" s="3">
        <v>13</v>
      </c>
      <c r="C58" s="3" t="s">
        <v>68</v>
      </c>
      <c r="D58" s="7" t="s">
        <v>75</v>
      </c>
      <c r="E58" s="5" t="s">
        <v>11</v>
      </c>
      <c r="F58" s="3">
        <v>0</v>
      </c>
      <c r="G58" s="3"/>
      <c r="H58" s="6"/>
    </row>
    <row r="59" spans="1:8" ht="18">
      <c r="A59" s="11" t="s">
        <v>76</v>
      </c>
      <c r="B59" s="3">
        <v>1</v>
      </c>
      <c r="C59" s="3" t="s">
        <v>68</v>
      </c>
      <c r="D59" s="4" t="s">
        <v>77</v>
      </c>
      <c r="E59" s="5" t="s">
        <v>11</v>
      </c>
      <c r="F59" s="3">
        <v>0</v>
      </c>
      <c r="G59" s="3"/>
      <c r="H59" s="6"/>
    </row>
    <row r="60" spans="1:8" ht="18">
      <c r="A60" s="11" t="s">
        <v>76</v>
      </c>
      <c r="B60" s="3">
        <v>2</v>
      </c>
      <c r="C60" s="3" t="s">
        <v>68</v>
      </c>
      <c r="D60" s="4" t="s">
        <v>78</v>
      </c>
      <c r="E60" s="5" t="s">
        <v>11</v>
      </c>
      <c r="F60" s="3">
        <v>0</v>
      </c>
      <c r="G60" s="3"/>
      <c r="H60" s="6"/>
    </row>
    <row r="61" spans="1:8" ht="18">
      <c r="A61" s="11" t="s">
        <v>76</v>
      </c>
      <c r="B61" s="3">
        <v>3</v>
      </c>
      <c r="C61" s="3" t="s">
        <v>68</v>
      </c>
      <c r="D61" s="4" t="s">
        <v>79</v>
      </c>
      <c r="E61" s="5" t="s">
        <v>11</v>
      </c>
      <c r="F61" s="3">
        <v>0</v>
      </c>
      <c r="G61" s="3"/>
      <c r="H61" s="6"/>
    </row>
    <row r="62" spans="1:8" ht="17">
      <c r="A62" s="11" t="s">
        <v>76</v>
      </c>
      <c r="B62" s="3">
        <v>4</v>
      </c>
      <c r="C62" s="3" t="s">
        <v>80</v>
      </c>
      <c r="D62" s="7" t="s">
        <v>81</v>
      </c>
      <c r="E62" s="5" t="s">
        <v>11</v>
      </c>
      <c r="F62" s="3">
        <v>0</v>
      </c>
      <c r="G62" s="3"/>
      <c r="H62" s="6"/>
    </row>
    <row r="63" spans="1:8" ht="18">
      <c r="A63" s="11" t="s">
        <v>76</v>
      </c>
      <c r="B63" s="3">
        <v>5</v>
      </c>
      <c r="C63" s="3" t="s">
        <v>80</v>
      </c>
      <c r="D63" s="4" t="s">
        <v>82</v>
      </c>
      <c r="E63" s="5" t="s">
        <v>11</v>
      </c>
      <c r="F63" s="3">
        <v>0</v>
      </c>
      <c r="G63" s="3"/>
      <c r="H63" s="6"/>
    </row>
    <row r="64" spans="1:8" ht="18">
      <c r="A64" s="11" t="s">
        <v>76</v>
      </c>
      <c r="B64" s="3">
        <v>6</v>
      </c>
      <c r="C64" s="3" t="s">
        <v>80</v>
      </c>
      <c r="D64" s="4" t="s">
        <v>83</v>
      </c>
      <c r="E64" s="5" t="s">
        <v>11</v>
      </c>
      <c r="F64" s="3">
        <v>0</v>
      </c>
      <c r="G64" s="3"/>
      <c r="H64" s="6"/>
    </row>
    <row r="65" spans="1:8" ht="17">
      <c r="A65" s="11" t="s">
        <v>76</v>
      </c>
      <c r="B65" s="3">
        <v>7</v>
      </c>
      <c r="C65" s="3" t="s">
        <v>80</v>
      </c>
      <c r="D65" s="7" t="s">
        <v>84</v>
      </c>
      <c r="E65" s="5" t="s">
        <v>11</v>
      </c>
      <c r="F65" s="3">
        <v>0</v>
      </c>
      <c r="G65" s="3"/>
      <c r="H65" s="6"/>
    </row>
    <row r="66" spans="1:8" ht="17">
      <c r="A66" s="11" t="s">
        <v>76</v>
      </c>
      <c r="B66" s="3">
        <v>8</v>
      </c>
      <c r="C66" s="3" t="s">
        <v>80</v>
      </c>
      <c r="D66" s="7" t="s">
        <v>85</v>
      </c>
      <c r="E66" s="5" t="s">
        <v>11</v>
      </c>
      <c r="F66" s="3">
        <v>0</v>
      </c>
      <c r="G66" s="3"/>
      <c r="H66" s="6"/>
    </row>
    <row r="67" spans="1:8" ht="18">
      <c r="A67" s="11" t="s">
        <v>76</v>
      </c>
      <c r="B67" s="3">
        <v>9</v>
      </c>
      <c r="C67" s="3" t="s">
        <v>80</v>
      </c>
      <c r="D67" s="4" t="s">
        <v>86</v>
      </c>
      <c r="E67" s="5" t="s">
        <v>11</v>
      </c>
      <c r="F67" s="3">
        <v>0</v>
      </c>
      <c r="G67" s="3"/>
      <c r="H67" s="6"/>
    </row>
    <row r="68" spans="1:8" ht="18">
      <c r="A68" s="11" t="s">
        <v>76</v>
      </c>
      <c r="B68" s="3">
        <v>10</v>
      </c>
      <c r="C68" s="3" t="s">
        <v>80</v>
      </c>
      <c r="D68" s="4" t="s">
        <v>87</v>
      </c>
      <c r="E68" s="5" t="s">
        <v>11</v>
      </c>
      <c r="F68" s="3">
        <v>0</v>
      </c>
      <c r="G68" s="3"/>
      <c r="H68" s="6"/>
    </row>
    <row r="69" spans="1:8" ht="18">
      <c r="A69" s="11" t="s">
        <v>76</v>
      </c>
      <c r="B69" s="3">
        <v>11</v>
      </c>
      <c r="C69" s="3" t="s">
        <v>80</v>
      </c>
      <c r="D69" s="7" t="s">
        <v>88</v>
      </c>
      <c r="E69" s="5" t="s">
        <v>11</v>
      </c>
      <c r="F69" s="3">
        <v>0</v>
      </c>
      <c r="G69" s="3"/>
      <c r="H69" s="6"/>
    </row>
    <row r="70" spans="1:8" ht="18">
      <c r="A70" s="8" t="s">
        <v>89</v>
      </c>
      <c r="B70" s="3">
        <v>1</v>
      </c>
      <c r="C70" s="3" t="s">
        <v>80</v>
      </c>
      <c r="D70" s="4" t="s">
        <v>90</v>
      </c>
      <c r="E70" s="5" t="s">
        <v>11</v>
      </c>
      <c r="F70" s="3">
        <v>0</v>
      </c>
      <c r="G70" s="3"/>
      <c r="H70" s="6"/>
    </row>
    <row r="71" spans="1:8" ht="18">
      <c r="A71" s="8" t="s">
        <v>89</v>
      </c>
      <c r="B71" s="3">
        <v>2</v>
      </c>
      <c r="C71" s="3" t="s">
        <v>80</v>
      </c>
      <c r="D71" s="4" t="s">
        <v>91</v>
      </c>
      <c r="E71" s="5" t="s">
        <v>11</v>
      </c>
      <c r="F71" s="3">
        <v>0</v>
      </c>
      <c r="G71" s="3"/>
      <c r="H71" s="6"/>
    </row>
    <row r="72" spans="1:8" ht="18">
      <c r="A72" s="8" t="s">
        <v>89</v>
      </c>
      <c r="B72" s="3">
        <v>3</v>
      </c>
      <c r="C72" s="3" t="s">
        <v>92</v>
      </c>
      <c r="D72" s="4" t="s">
        <v>93</v>
      </c>
      <c r="E72" s="5" t="s">
        <v>11</v>
      </c>
      <c r="F72" s="3">
        <v>0</v>
      </c>
      <c r="G72" s="3"/>
      <c r="H72" s="6"/>
    </row>
    <row r="73" spans="1:8" ht="18">
      <c r="A73" s="8" t="s">
        <v>89</v>
      </c>
      <c r="B73" s="3">
        <v>4</v>
      </c>
      <c r="C73" s="3" t="s">
        <v>92</v>
      </c>
      <c r="D73" s="4" t="s">
        <v>94</v>
      </c>
      <c r="E73" s="5" t="s">
        <v>11</v>
      </c>
      <c r="F73" s="3">
        <v>0</v>
      </c>
      <c r="G73" s="3"/>
      <c r="H73" s="6"/>
    </row>
    <row r="74" spans="1:8" ht="18">
      <c r="A74" s="8" t="s">
        <v>89</v>
      </c>
      <c r="B74" s="3">
        <v>5</v>
      </c>
      <c r="C74" s="3" t="s">
        <v>92</v>
      </c>
      <c r="D74" s="4" t="s">
        <v>95</v>
      </c>
      <c r="E74" s="5" t="s">
        <v>11</v>
      </c>
      <c r="F74" s="3">
        <v>0</v>
      </c>
      <c r="G74" s="3"/>
      <c r="H74" s="6"/>
    </row>
    <row r="75" spans="1:8" ht="18">
      <c r="A75" s="8" t="s">
        <v>89</v>
      </c>
      <c r="B75" s="3">
        <v>6</v>
      </c>
      <c r="C75" s="3" t="s">
        <v>92</v>
      </c>
      <c r="D75" s="4" t="s">
        <v>96</v>
      </c>
      <c r="E75" s="5" t="s">
        <v>11</v>
      </c>
      <c r="F75" s="3">
        <v>0</v>
      </c>
      <c r="G75" s="3"/>
      <c r="H75" s="6"/>
    </row>
    <row r="76" spans="1:8" ht="18">
      <c r="A76" s="8" t="s">
        <v>89</v>
      </c>
      <c r="B76" s="3">
        <v>7</v>
      </c>
      <c r="C76" s="3" t="s">
        <v>92</v>
      </c>
      <c r="D76" s="4" t="s">
        <v>97</v>
      </c>
      <c r="E76" s="5" t="s">
        <v>11</v>
      </c>
      <c r="F76" s="3">
        <v>0</v>
      </c>
      <c r="G76" s="3"/>
      <c r="H76" s="6"/>
    </row>
    <row r="77" spans="1:8" ht="18">
      <c r="A77" s="8" t="s">
        <v>89</v>
      </c>
      <c r="B77" s="3">
        <v>8</v>
      </c>
      <c r="C77" s="3" t="s">
        <v>92</v>
      </c>
      <c r="D77" s="4" t="s">
        <v>98</v>
      </c>
      <c r="E77" s="5" t="s">
        <v>11</v>
      </c>
      <c r="F77" s="3">
        <v>0</v>
      </c>
      <c r="G77" s="3"/>
      <c r="H77" s="6"/>
    </row>
    <row r="78" spans="1:8" ht="18">
      <c r="A78" s="8" t="s">
        <v>89</v>
      </c>
      <c r="B78" s="3">
        <v>9</v>
      </c>
      <c r="C78" s="3" t="s">
        <v>92</v>
      </c>
      <c r="D78" s="4" t="s">
        <v>99</v>
      </c>
      <c r="E78" s="5" t="s">
        <v>11</v>
      </c>
      <c r="F78" s="3">
        <v>0</v>
      </c>
      <c r="G78" s="3"/>
      <c r="H78" s="6"/>
    </row>
    <row r="79" spans="1:8" ht="18">
      <c r="A79" s="8" t="s">
        <v>89</v>
      </c>
      <c r="B79" s="3">
        <v>10</v>
      </c>
      <c r="C79" s="3" t="s">
        <v>92</v>
      </c>
      <c r="D79" s="4" t="s">
        <v>100</v>
      </c>
      <c r="E79" s="5" t="s">
        <v>11</v>
      </c>
      <c r="F79" s="3">
        <v>0</v>
      </c>
      <c r="G79" s="3"/>
      <c r="H79" s="6"/>
    </row>
    <row r="80" spans="1:8" ht="18">
      <c r="A80" s="8" t="s">
        <v>89</v>
      </c>
      <c r="B80" s="3">
        <v>11</v>
      </c>
      <c r="C80" s="3" t="s">
        <v>92</v>
      </c>
      <c r="D80" s="4" t="s">
        <v>101</v>
      </c>
      <c r="E80" s="5" t="s">
        <v>11</v>
      </c>
      <c r="F80" s="3">
        <v>0</v>
      </c>
      <c r="G80" s="3"/>
      <c r="H80" s="6"/>
    </row>
    <row r="81" spans="1:8" ht="18">
      <c r="A81" s="8" t="s">
        <v>89</v>
      </c>
      <c r="B81" s="3">
        <v>12</v>
      </c>
      <c r="C81" s="3" t="s">
        <v>92</v>
      </c>
      <c r="D81" s="4" t="s">
        <v>102</v>
      </c>
      <c r="E81" s="5" t="s">
        <v>11</v>
      </c>
      <c r="F81" s="3">
        <v>0</v>
      </c>
      <c r="G81" s="3"/>
      <c r="H81" s="6"/>
    </row>
    <row r="82" spans="1:8" ht="18">
      <c r="A82" s="8" t="s">
        <v>89</v>
      </c>
      <c r="B82" s="3">
        <v>13</v>
      </c>
      <c r="C82" s="3" t="s">
        <v>103</v>
      </c>
      <c r="D82" s="7" t="s">
        <v>104</v>
      </c>
      <c r="E82" s="5" t="s">
        <v>11</v>
      </c>
      <c r="F82" s="3">
        <v>0</v>
      </c>
      <c r="G82" s="3"/>
      <c r="H82" s="6"/>
    </row>
    <row r="83" spans="1:8" ht="18">
      <c r="A83" s="8" t="s">
        <v>89</v>
      </c>
      <c r="B83" s="3">
        <v>14</v>
      </c>
      <c r="C83" s="3" t="s">
        <v>103</v>
      </c>
      <c r="D83" s="4" t="s">
        <v>105</v>
      </c>
      <c r="E83" s="5" t="s">
        <v>11</v>
      </c>
      <c r="F83" s="3">
        <v>0</v>
      </c>
      <c r="G83" s="3"/>
      <c r="H83" s="6"/>
    </row>
    <row r="84" spans="1:8" ht="18">
      <c r="A84" s="8" t="s">
        <v>89</v>
      </c>
      <c r="B84" s="3">
        <v>15</v>
      </c>
      <c r="C84" s="3" t="s">
        <v>103</v>
      </c>
      <c r="D84" s="4" t="s">
        <v>106</v>
      </c>
      <c r="E84" s="5" t="s">
        <v>11</v>
      </c>
      <c r="F84" s="3">
        <v>0</v>
      </c>
      <c r="G84" s="3"/>
      <c r="H84" s="6"/>
    </row>
    <row r="85" spans="1:8" ht="18">
      <c r="A85" s="12" t="s">
        <v>107</v>
      </c>
      <c r="B85" s="3">
        <v>1</v>
      </c>
      <c r="C85" s="3" t="s">
        <v>103</v>
      </c>
      <c r="D85" s="4" t="s">
        <v>108</v>
      </c>
      <c r="E85" s="5" t="s">
        <v>11</v>
      </c>
      <c r="F85" s="3">
        <v>0</v>
      </c>
      <c r="G85" s="3"/>
      <c r="H85" s="6"/>
    </row>
    <row r="86" spans="1:8" ht="17">
      <c r="A86" s="12" t="s">
        <v>107</v>
      </c>
      <c r="B86" s="3">
        <v>2</v>
      </c>
      <c r="C86" s="3" t="s">
        <v>103</v>
      </c>
      <c r="D86" s="7" t="s">
        <v>109</v>
      </c>
      <c r="E86" s="5" t="s">
        <v>11</v>
      </c>
      <c r="F86" s="3">
        <v>0</v>
      </c>
      <c r="G86" s="3"/>
      <c r="H86" s="6"/>
    </row>
    <row r="87" spans="1:8" ht="18">
      <c r="A87" s="12" t="s">
        <v>107</v>
      </c>
      <c r="B87" s="3">
        <v>3</v>
      </c>
      <c r="C87" s="3" t="s">
        <v>103</v>
      </c>
      <c r="D87" s="4" t="s">
        <v>110</v>
      </c>
      <c r="E87" s="5" t="s">
        <v>11</v>
      </c>
      <c r="F87" s="3">
        <v>0</v>
      </c>
      <c r="G87" s="3"/>
      <c r="H87" s="6"/>
    </row>
    <row r="88" spans="1:8" ht="18">
      <c r="A88" s="12" t="s">
        <v>107</v>
      </c>
      <c r="B88" s="3">
        <v>4</v>
      </c>
      <c r="C88" s="3" t="s">
        <v>103</v>
      </c>
      <c r="D88" s="4" t="s">
        <v>111</v>
      </c>
      <c r="E88" s="5" t="s">
        <v>11</v>
      </c>
      <c r="F88" s="3">
        <v>0</v>
      </c>
      <c r="G88" s="3"/>
      <c r="H88" s="6"/>
    </row>
    <row r="89" spans="1:8" ht="17">
      <c r="A89" s="12" t="s">
        <v>107</v>
      </c>
      <c r="B89" s="3">
        <v>5</v>
      </c>
      <c r="C89" s="3" t="s">
        <v>103</v>
      </c>
      <c r="D89" s="7" t="s">
        <v>112</v>
      </c>
      <c r="E89" s="5" t="s">
        <v>11</v>
      </c>
      <c r="F89" s="3">
        <v>0</v>
      </c>
      <c r="G89" s="3"/>
      <c r="H89" s="6"/>
    </row>
    <row r="90" spans="1:8" ht="17">
      <c r="A90" s="12" t="s">
        <v>107</v>
      </c>
      <c r="B90" s="3">
        <v>6</v>
      </c>
      <c r="C90" s="3" t="s">
        <v>103</v>
      </c>
      <c r="D90" s="7" t="s">
        <v>113</v>
      </c>
      <c r="E90" s="5" t="s">
        <v>11</v>
      </c>
      <c r="F90" s="3">
        <v>0</v>
      </c>
      <c r="G90" s="3"/>
      <c r="H90" s="6"/>
    </row>
    <row r="91" spans="1:8" ht="18">
      <c r="A91" s="12" t="s">
        <v>107</v>
      </c>
      <c r="B91" s="3">
        <v>7</v>
      </c>
      <c r="C91" s="3" t="s">
        <v>103</v>
      </c>
      <c r="D91" s="7" t="s">
        <v>114</v>
      </c>
      <c r="E91" s="5" t="s">
        <v>11</v>
      </c>
      <c r="F91" s="3">
        <v>0</v>
      </c>
      <c r="G91" s="3"/>
      <c r="H91" s="6"/>
    </row>
    <row r="92" spans="1:8" ht="17">
      <c r="A92" s="12" t="s">
        <v>107</v>
      </c>
      <c r="B92" s="3">
        <v>8</v>
      </c>
      <c r="C92" s="3" t="s">
        <v>115</v>
      </c>
      <c r="D92" s="7" t="s">
        <v>116</v>
      </c>
      <c r="E92" s="5" t="s">
        <v>11</v>
      </c>
      <c r="F92" s="3">
        <v>0</v>
      </c>
      <c r="G92" s="3"/>
      <c r="H92" s="6"/>
    </row>
    <row r="93" spans="1:8" ht="18">
      <c r="A93" s="12" t="s">
        <v>107</v>
      </c>
      <c r="B93" s="3">
        <v>9</v>
      </c>
      <c r="C93" s="3" t="s">
        <v>115</v>
      </c>
      <c r="D93" s="4" t="s">
        <v>117</v>
      </c>
      <c r="E93" s="5" t="s">
        <v>11</v>
      </c>
      <c r="F93" s="3">
        <v>0</v>
      </c>
      <c r="G93" s="3"/>
      <c r="H93" s="6"/>
    </row>
    <row r="94" spans="1:8" ht="18">
      <c r="A94" s="12" t="s">
        <v>107</v>
      </c>
      <c r="B94" s="3">
        <v>10</v>
      </c>
      <c r="C94" s="3" t="s">
        <v>115</v>
      </c>
      <c r="D94" s="4" t="s">
        <v>118</v>
      </c>
      <c r="E94" s="5" t="s">
        <v>11</v>
      </c>
      <c r="F94" s="3">
        <v>0</v>
      </c>
      <c r="G94" s="3"/>
      <c r="H94" s="6"/>
    </row>
    <row r="95" spans="1:8" ht="18">
      <c r="A95" s="12" t="s">
        <v>107</v>
      </c>
      <c r="B95" s="3">
        <v>11</v>
      </c>
      <c r="C95" s="3" t="s">
        <v>115</v>
      </c>
      <c r="D95" s="7" t="s">
        <v>119</v>
      </c>
      <c r="E95" s="5" t="s">
        <v>11</v>
      </c>
      <c r="F95" s="3">
        <v>0</v>
      </c>
      <c r="G95" s="3"/>
      <c r="H95" s="6"/>
    </row>
    <row r="96" spans="1:8" ht="17">
      <c r="A96" s="12" t="s">
        <v>107</v>
      </c>
      <c r="B96" s="3">
        <v>12</v>
      </c>
      <c r="C96" s="3" t="s">
        <v>115</v>
      </c>
      <c r="D96" s="7" t="s">
        <v>120</v>
      </c>
      <c r="E96" s="5" t="s">
        <v>11</v>
      </c>
      <c r="F96" s="3">
        <v>0</v>
      </c>
      <c r="G96" s="3"/>
      <c r="H96" s="6"/>
    </row>
    <row r="97" spans="1:8" ht="17">
      <c r="A97" s="12" t="s">
        <v>107</v>
      </c>
      <c r="B97" s="3">
        <v>13</v>
      </c>
      <c r="C97" s="3" t="s">
        <v>115</v>
      </c>
      <c r="D97" s="7" t="s">
        <v>121</v>
      </c>
      <c r="E97" s="5" t="s">
        <v>11</v>
      </c>
      <c r="F97" s="3">
        <v>0</v>
      </c>
      <c r="G97" s="3"/>
      <c r="H97" s="6"/>
    </row>
    <row r="98" spans="1:8" ht="18">
      <c r="A98" s="12" t="s">
        <v>107</v>
      </c>
      <c r="B98" s="3">
        <v>14</v>
      </c>
      <c r="C98" s="3" t="s">
        <v>115</v>
      </c>
      <c r="D98" s="7" t="s">
        <v>122</v>
      </c>
      <c r="E98" s="5" t="s">
        <v>11</v>
      </c>
      <c r="F98" s="3">
        <v>0</v>
      </c>
      <c r="G98" s="3"/>
      <c r="H98" s="6"/>
    </row>
    <row r="99" spans="1:8" ht="18">
      <c r="A99" s="13" t="s">
        <v>123</v>
      </c>
      <c r="B99" s="3">
        <v>1</v>
      </c>
      <c r="C99" s="3" t="s">
        <v>115</v>
      </c>
      <c r="D99" s="4" t="s">
        <v>124</v>
      </c>
      <c r="E99" s="5" t="s">
        <v>11</v>
      </c>
      <c r="F99" s="3">
        <v>0</v>
      </c>
      <c r="G99" s="3"/>
      <c r="H99" s="6"/>
    </row>
    <row r="100" spans="1:8" ht="18">
      <c r="A100" s="13" t="s">
        <v>123</v>
      </c>
      <c r="B100" s="3">
        <v>2</v>
      </c>
      <c r="C100" s="3" t="s">
        <v>115</v>
      </c>
      <c r="D100" s="4" t="s">
        <v>125</v>
      </c>
      <c r="E100" s="5" t="s">
        <v>11</v>
      </c>
      <c r="F100" s="3">
        <v>0</v>
      </c>
      <c r="G100" s="3"/>
      <c r="H100" s="6"/>
    </row>
    <row r="101" spans="1:8" ht="18">
      <c r="A101" s="13" t="s">
        <v>123</v>
      </c>
      <c r="B101" s="3">
        <v>3</v>
      </c>
      <c r="C101" s="3" t="s">
        <v>115</v>
      </c>
      <c r="D101" s="4" t="s">
        <v>126</v>
      </c>
      <c r="E101" s="5" t="s">
        <v>11</v>
      </c>
      <c r="F101" s="3">
        <v>0</v>
      </c>
      <c r="G101" s="3"/>
      <c r="H101" s="6"/>
    </row>
    <row r="102" spans="1:8" ht="18">
      <c r="A102" s="13" t="s">
        <v>123</v>
      </c>
      <c r="B102" s="3">
        <v>4</v>
      </c>
      <c r="C102" s="3" t="s">
        <v>127</v>
      </c>
      <c r="D102" s="4" t="s">
        <v>128</v>
      </c>
      <c r="E102" s="5" t="s">
        <v>11</v>
      </c>
      <c r="F102" s="3">
        <v>0</v>
      </c>
      <c r="G102" s="3"/>
      <c r="H102" s="6"/>
    </row>
    <row r="103" spans="1:8" ht="18">
      <c r="A103" s="13" t="s">
        <v>123</v>
      </c>
      <c r="B103" s="3">
        <v>5</v>
      </c>
      <c r="C103" s="3" t="s">
        <v>127</v>
      </c>
      <c r="D103" s="4" t="s">
        <v>129</v>
      </c>
      <c r="E103" s="5" t="s">
        <v>11</v>
      </c>
      <c r="F103" s="3">
        <v>0</v>
      </c>
      <c r="G103" s="3"/>
      <c r="H103" s="6"/>
    </row>
    <row r="104" spans="1:8" ht="18">
      <c r="A104" s="13" t="s">
        <v>123</v>
      </c>
      <c r="B104" s="3">
        <v>6</v>
      </c>
      <c r="C104" s="3" t="s">
        <v>127</v>
      </c>
      <c r="D104" s="4" t="s">
        <v>130</v>
      </c>
      <c r="E104" s="5" t="s">
        <v>11</v>
      </c>
      <c r="F104" s="3">
        <v>0</v>
      </c>
      <c r="G104" s="3"/>
      <c r="H104" s="6"/>
    </row>
    <row r="105" spans="1:8" ht="18">
      <c r="A105" s="13" t="s">
        <v>123</v>
      </c>
      <c r="B105" s="3">
        <v>7</v>
      </c>
      <c r="C105" s="3" t="s">
        <v>127</v>
      </c>
      <c r="D105" s="4" t="s">
        <v>131</v>
      </c>
      <c r="E105" s="5" t="s">
        <v>11</v>
      </c>
      <c r="F105" s="3">
        <v>0</v>
      </c>
      <c r="G105" s="3"/>
      <c r="H105" s="6"/>
    </row>
    <row r="106" spans="1:8" ht="18">
      <c r="A106" s="13" t="s">
        <v>123</v>
      </c>
      <c r="B106" s="3">
        <v>8</v>
      </c>
      <c r="C106" s="3" t="s">
        <v>127</v>
      </c>
      <c r="D106" s="7" t="s">
        <v>132</v>
      </c>
      <c r="E106" s="5" t="s">
        <v>11</v>
      </c>
      <c r="F106" s="3">
        <v>0</v>
      </c>
      <c r="G106" s="3"/>
      <c r="H106" s="6"/>
    </row>
    <row r="107" spans="1:8" ht="18">
      <c r="A107" s="13" t="s">
        <v>123</v>
      </c>
      <c r="B107" s="3">
        <v>9</v>
      </c>
      <c r="C107" s="3" t="s">
        <v>127</v>
      </c>
      <c r="D107" s="7" t="s">
        <v>133</v>
      </c>
      <c r="E107" s="5" t="s">
        <v>11</v>
      </c>
      <c r="F107" s="3">
        <v>0</v>
      </c>
      <c r="G107" s="3"/>
      <c r="H107" s="6"/>
    </row>
    <row r="108" spans="1:8" ht="18">
      <c r="A108" s="13" t="s">
        <v>123</v>
      </c>
      <c r="B108" s="3">
        <v>10</v>
      </c>
      <c r="C108" s="3" t="s">
        <v>127</v>
      </c>
      <c r="D108" s="7" t="s">
        <v>134</v>
      </c>
      <c r="E108" s="5" t="s">
        <v>11</v>
      </c>
      <c r="F108" s="3">
        <v>0</v>
      </c>
      <c r="G108" s="3"/>
      <c r="H108" s="6"/>
    </row>
    <row r="109" spans="1:8" ht="18">
      <c r="A109" s="14" t="s">
        <v>135</v>
      </c>
      <c r="B109" s="3">
        <v>1</v>
      </c>
      <c r="C109" s="3" t="s">
        <v>127</v>
      </c>
      <c r="D109" s="7" t="s">
        <v>136</v>
      </c>
      <c r="E109" s="5" t="s">
        <v>11</v>
      </c>
      <c r="F109" s="3">
        <v>0</v>
      </c>
      <c r="G109" s="3"/>
      <c r="H109" s="6"/>
    </row>
    <row r="110" spans="1:8" ht="17">
      <c r="A110" s="14" t="s">
        <v>135</v>
      </c>
      <c r="B110" s="3">
        <v>2</v>
      </c>
      <c r="C110" s="3" t="s">
        <v>127</v>
      </c>
      <c r="D110" s="7" t="s">
        <v>137</v>
      </c>
      <c r="E110" s="5" t="s">
        <v>11</v>
      </c>
      <c r="F110" s="3">
        <v>0</v>
      </c>
      <c r="G110" s="3"/>
      <c r="H110" s="6"/>
    </row>
    <row r="111" spans="1:8" ht="18">
      <c r="A111" s="14" t="s">
        <v>135</v>
      </c>
      <c r="B111" s="3">
        <v>3</v>
      </c>
      <c r="C111" s="3" t="s">
        <v>127</v>
      </c>
      <c r="D111" s="7" t="s">
        <v>138</v>
      </c>
      <c r="E111" s="5" t="s">
        <v>11</v>
      </c>
      <c r="F111" s="3">
        <v>0</v>
      </c>
      <c r="G111" s="3"/>
      <c r="H111" s="6"/>
    </row>
    <row r="112" spans="1:8" ht="17">
      <c r="A112" s="14" t="s">
        <v>135</v>
      </c>
      <c r="B112" s="3">
        <v>4</v>
      </c>
      <c r="C112" s="3" t="s">
        <v>139</v>
      </c>
      <c r="D112" s="7" t="s">
        <v>140</v>
      </c>
      <c r="E112" s="5" t="s">
        <v>11</v>
      </c>
      <c r="F112" s="3">
        <v>0</v>
      </c>
      <c r="G112" s="3"/>
      <c r="H112" s="6"/>
    </row>
    <row r="113" spans="1:8" ht="18">
      <c r="A113" s="14" t="s">
        <v>135</v>
      </c>
      <c r="B113" s="3">
        <v>5</v>
      </c>
      <c r="C113" s="3" t="s">
        <v>139</v>
      </c>
      <c r="D113" s="7" t="s">
        <v>141</v>
      </c>
      <c r="E113" s="5" t="s">
        <v>11</v>
      </c>
      <c r="F113" s="3">
        <v>0</v>
      </c>
      <c r="G113" s="3"/>
      <c r="H113" s="6"/>
    </row>
    <row r="114" spans="1:8" ht="18">
      <c r="A114" s="14" t="s">
        <v>135</v>
      </c>
      <c r="B114" s="3">
        <v>6</v>
      </c>
      <c r="C114" s="3" t="s">
        <v>139</v>
      </c>
      <c r="D114" s="7" t="s">
        <v>142</v>
      </c>
      <c r="E114" s="5" t="s">
        <v>11</v>
      </c>
      <c r="F114" s="3">
        <v>0</v>
      </c>
      <c r="G114" s="3"/>
      <c r="H114" s="6"/>
    </row>
    <row r="115" spans="1:8" ht="18">
      <c r="A115" s="14" t="s">
        <v>135</v>
      </c>
      <c r="B115" s="3">
        <v>7</v>
      </c>
      <c r="C115" s="3" t="s">
        <v>139</v>
      </c>
      <c r="D115" s="7" t="s">
        <v>143</v>
      </c>
      <c r="E115" s="5" t="s">
        <v>11</v>
      </c>
      <c r="F115" s="3">
        <v>0</v>
      </c>
      <c r="G115" s="3"/>
      <c r="H115" s="6"/>
    </row>
    <row r="116" spans="1:8" ht="18">
      <c r="A116" s="14" t="s">
        <v>135</v>
      </c>
      <c r="B116" s="3">
        <v>8</v>
      </c>
      <c r="C116" s="3" t="s">
        <v>139</v>
      </c>
      <c r="D116" s="7" t="s">
        <v>144</v>
      </c>
      <c r="E116" s="5" t="s">
        <v>11</v>
      </c>
      <c r="F116" s="3">
        <v>0</v>
      </c>
      <c r="G116" s="3"/>
      <c r="H116" s="6"/>
    </row>
    <row r="117" spans="1:8" ht="18">
      <c r="A117" s="14" t="s">
        <v>135</v>
      </c>
      <c r="B117" s="3">
        <v>9</v>
      </c>
      <c r="C117" s="3" t="s">
        <v>139</v>
      </c>
      <c r="D117" s="7" t="s">
        <v>145</v>
      </c>
      <c r="E117" s="5" t="s">
        <v>11</v>
      </c>
      <c r="F117" s="3">
        <v>0</v>
      </c>
      <c r="G117" s="3"/>
      <c r="H117" s="6"/>
    </row>
    <row r="118" spans="1:8" ht="18">
      <c r="A118" s="14" t="s">
        <v>135</v>
      </c>
      <c r="B118" s="3">
        <v>10</v>
      </c>
      <c r="C118" s="3" t="s">
        <v>139</v>
      </c>
      <c r="D118" s="7" t="s">
        <v>146</v>
      </c>
      <c r="E118" s="5" t="s">
        <v>11</v>
      </c>
      <c r="F118" s="3">
        <v>0</v>
      </c>
      <c r="G118" s="3"/>
      <c r="H118" s="6"/>
    </row>
    <row r="119" spans="1:8" ht="17">
      <c r="A119" s="14" t="s">
        <v>135</v>
      </c>
      <c r="B119" s="3">
        <v>11</v>
      </c>
      <c r="C119" s="3" t="s">
        <v>139</v>
      </c>
      <c r="D119" s="7" t="s">
        <v>147</v>
      </c>
      <c r="E119" s="5" t="s">
        <v>11</v>
      </c>
      <c r="F119" s="3">
        <v>0</v>
      </c>
      <c r="G119" s="3"/>
      <c r="H119" s="6"/>
    </row>
    <row r="120" spans="1:8" ht="18">
      <c r="A120" s="14" t="s">
        <v>135</v>
      </c>
      <c r="B120" s="3">
        <v>12</v>
      </c>
      <c r="C120" s="3" t="s">
        <v>139</v>
      </c>
      <c r="D120" s="4" t="s">
        <v>148</v>
      </c>
      <c r="E120" s="5" t="s">
        <v>11</v>
      </c>
      <c r="F120" s="3">
        <v>0</v>
      </c>
      <c r="G120" s="3"/>
      <c r="H120" s="6"/>
    </row>
    <row r="121" spans="1:8" ht="18">
      <c r="A121" s="14" t="s">
        <v>135</v>
      </c>
      <c r="B121" s="3">
        <v>13</v>
      </c>
      <c r="C121" s="3" t="s">
        <v>139</v>
      </c>
      <c r="D121" s="4" t="s">
        <v>149</v>
      </c>
      <c r="E121" s="5" t="s">
        <v>11</v>
      </c>
      <c r="F121" s="3">
        <v>0</v>
      </c>
      <c r="G121" s="3"/>
      <c r="H121" s="6"/>
    </row>
    <row r="122" spans="1:8" ht="17">
      <c r="A122" s="14" t="s">
        <v>135</v>
      </c>
      <c r="B122" s="3">
        <v>14</v>
      </c>
      <c r="C122" s="3" t="s">
        <v>150</v>
      </c>
      <c r="D122" s="7" t="s">
        <v>151</v>
      </c>
      <c r="E122" s="5" t="s">
        <v>11</v>
      </c>
      <c r="F122" s="3">
        <v>0</v>
      </c>
      <c r="G122" s="3"/>
      <c r="H122" s="6"/>
    </row>
    <row r="123" spans="1:8" ht="18">
      <c r="A123" s="9" t="s">
        <v>152</v>
      </c>
      <c r="B123" s="3">
        <v>1</v>
      </c>
      <c r="C123" s="3" t="s">
        <v>150</v>
      </c>
      <c r="D123" s="7" t="s">
        <v>153</v>
      </c>
      <c r="E123" s="5" t="s">
        <v>11</v>
      </c>
      <c r="F123" s="3">
        <v>0</v>
      </c>
      <c r="G123" s="3"/>
      <c r="H123" s="6"/>
    </row>
    <row r="124" spans="1:8" ht="18">
      <c r="A124" s="9" t="s">
        <v>152</v>
      </c>
      <c r="B124" s="3">
        <v>2</v>
      </c>
      <c r="C124" s="3" t="s">
        <v>150</v>
      </c>
      <c r="D124" s="7" t="s">
        <v>154</v>
      </c>
      <c r="E124" s="5" t="s">
        <v>11</v>
      </c>
      <c r="F124" s="3">
        <v>0</v>
      </c>
      <c r="G124" s="3"/>
      <c r="H124" s="6"/>
    </row>
    <row r="125" spans="1:8" ht="18">
      <c r="A125" s="9" t="s">
        <v>152</v>
      </c>
      <c r="B125" s="3">
        <v>3</v>
      </c>
      <c r="C125" s="3" t="s">
        <v>150</v>
      </c>
      <c r="D125" s="7" t="s">
        <v>155</v>
      </c>
      <c r="E125" s="5" t="s">
        <v>11</v>
      </c>
      <c r="F125" s="3">
        <v>0</v>
      </c>
      <c r="G125" s="3"/>
      <c r="H125" s="6"/>
    </row>
    <row r="126" spans="1:8" ht="18">
      <c r="A126" s="9" t="s">
        <v>152</v>
      </c>
      <c r="B126" s="3">
        <v>4</v>
      </c>
      <c r="C126" s="3" t="s">
        <v>150</v>
      </c>
      <c r="D126" s="7" t="s">
        <v>156</v>
      </c>
      <c r="E126" s="5" t="s">
        <v>11</v>
      </c>
      <c r="F126" s="3">
        <v>0</v>
      </c>
      <c r="G126" s="3"/>
      <c r="H126" s="6"/>
    </row>
    <row r="127" spans="1:8" ht="18">
      <c r="A127" s="9" t="s">
        <v>152</v>
      </c>
      <c r="B127" s="3">
        <v>5</v>
      </c>
      <c r="C127" s="3" t="s">
        <v>150</v>
      </c>
      <c r="D127" s="7" t="s">
        <v>157</v>
      </c>
      <c r="E127" s="5" t="s">
        <v>11</v>
      </c>
      <c r="F127" s="3">
        <v>0</v>
      </c>
      <c r="G127" s="3"/>
      <c r="H127" s="6"/>
    </row>
    <row r="128" spans="1:8" ht="18">
      <c r="A128" s="9" t="s">
        <v>152</v>
      </c>
      <c r="B128" s="3">
        <v>6</v>
      </c>
      <c r="C128" s="3" t="s">
        <v>150</v>
      </c>
      <c r="D128" s="4" t="s">
        <v>158</v>
      </c>
      <c r="E128" s="5" t="s">
        <v>11</v>
      </c>
      <c r="F128" s="3">
        <v>0</v>
      </c>
      <c r="G128" s="3"/>
      <c r="H128" s="6"/>
    </row>
    <row r="129" spans="1:8" ht="18">
      <c r="A129" s="9" t="s">
        <v>152</v>
      </c>
      <c r="B129" s="3">
        <v>7</v>
      </c>
      <c r="C129" s="3" t="s">
        <v>150</v>
      </c>
      <c r="D129" s="7" t="s">
        <v>159</v>
      </c>
      <c r="E129" s="5" t="s">
        <v>11</v>
      </c>
      <c r="F129" s="3">
        <v>0</v>
      </c>
      <c r="G129" s="3"/>
      <c r="H129" s="6"/>
    </row>
    <row r="130" spans="1:8" ht="18">
      <c r="A130" s="9" t="s">
        <v>152</v>
      </c>
      <c r="B130" s="3">
        <v>8</v>
      </c>
      <c r="C130" s="3" t="s">
        <v>150</v>
      </c>
      <c r="D130" s="4" t="s">
        <v>160</v>
      </c>
      <c r="E130" s="5" t="s">
        <v>11</v>
      </c>
      <c r="F130" s="3">
        <v>0</v>
      </c>
      <c r="G130" s="3"/>
      <c r="H130" s="6"/>
    </row>
    <row r="131" spans="1:8" ht="17">
      <c r="A131" s="9" t="s">
        <v>152</v>
      </c>
      <c r="B131" s="3">
        <v>9</v>
      </c>
      <c r="C131" s="3" t="s">
        <v>150</v>
      </c>
      <c r="D131" s="7" t="s">
        <v>161</v>
      </c>
      <c r="E131" s="5" t="s">
        <v>11</v>
      </c>
      <c r="F131" s="3">
        <v>0</v>
      </c>
      <c r="G131" s="3"/>
      <c r="H131" s="6"/>
    </row>
    <row r="132" spans="1:8" ht="18">
      <c r="A132" s="9" t="s">
        <v>152</v>
      </c>
      <c r="B132" s="3">
        <v>10</v>
      </c>
      <c r="C132" s="3" t="s">
        <v>162</v>
      </c>
      <c r="D132" s="7" t="s">
        <v>163</v>
      </c>
      <c r="E132" s="5" t="s">
        <v>11</v>
      </c>
      <c r="F132" s="3">
        <v>0</v>
      </c>
      <c r="G132" s="3"/>
      <c r="H132" s="6"/>
    </row>
    <row r="133" spans="1:8" ht="18">
      <c r="A133" s="9" t="s">
        <v>152</v>
      </c>
      <c r="B133" s="3">
        <v>11</v>
      </c>
      <c r="C133" s="3" t="s">
        <v>162</v>
      </c>
      <c r="D133" s="7" t="s">
        <v>164</v>
      </c>
      <c r="E133" s="5" t="s">
        <v>11</v>
      </c>
      <c r="F133" s="3">
        <v>0</v>
      </c>
      <c r="G133" s="3"/>
      <c r="H133" s="6"/>
    </row>
  </sheetData>
  <autoFilter ref="A1:H133" xr:uid="{00000000-0009-0000-0000-000000000000}"/>
  <phoneticPr fontId="8" type="noConversion"/>
  <conditionalFormatting sqref="E2:E133">
    <cfRule type="cellIs" dxfId="3" priority="2" operator="equal">
      <formula>"未开始"</formula>
    </cfRule>
    <cfRule type="cellIs" dxfId="2" priority="3" operator="equal">
      <formula>"眼熟"</formula>
    </cfRule>
    <cfRule type="cellIs" dxfId="1" priority="4" operator="equal">
      <formula>"能讲框架"</formula>
    </cfRule>
    <cfRule type="cellIs" dxfId="0" priority="5" operator="equal">
      <formula>"能扛追问"</formula>
    </cfRule>
  </conditionalFormatting>
  <dataValidations count="1">
    <dataValidation type="list" sqref="E2:E133" xr:uid="{00000000-0002-0000-0000-000000000000}">
      <formula1>"未开始,眼熟,能讲框架,能扛追问"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22" customWidth="1"/>
    <col min="2" max="2" width="8" customWidth="1"/>
    <col min="3" max="4" width="9" customWidth="1"/>
    <col min="5" max="6" width="11" customWidth="1"/>
    <col min="7" max="7" width="18" customWidth="1"/>
  </cols>
  <sheetData>
    <row r="1" spans="1:7" ht="17">
      <c r="A1" s="15" t="s">
        <v>0</v>
      </c>
      <c r="B1" s="16" t="s">
        <v>165</v>
      </c>
      <c r="C1" s="16" t="s">
        <v>11</v>
      </c>
      <c r="D1" s="16" t="s">
        <v>166</v>
      </c>
      <c r="E1" s="16" t="s">
        <v>167</v>
      </c>
      <c r="F1" s="16" t="s">
        <v>168</v>
      </c>
      <c r="G1" s="16" t="s">
        <v>169</v>
      </c>
    </row>
    <row r="2" spans="1:7" ht="17">
      <c r="A2" s="17" t="s">
        <v>8</v>
      </c>
      <c r="B2" s="3">
        <f>COUNTIF(打卡表!$A$2:$A$133,$A2)</f>
        <v>16</v>
      </c>
      <c r="C2" s="3">
        <f>COUNTIFS(打卡表!$A$2:$A$133,$A2,打卡表!$E$2:$E$133,"未开始")</f>
        <v>16</v>
      </c>
      <c r="D2" s="3">
        <f>COUNTIFS(打卡表!$A$2:$A$133,$A2,打卡表!$E$2:$E$133,"眼熟")</f>
        <v>0</v>
      </c>
      <c r="E2" s="3">
        <f>COUNTIFS(打卡表!$A$2:$A$133,$A2,打卡表!$E$2:$E$133,"能讲框架")</f>
        <v>0</v>
      </c>
      <c r="F2" s="3">
        <f>COUNTIFS(打卡表!$A$2:$A$133,$A2,打卡表!$E$2:$E$133,"能扛追问")</f>
        <v>0</v>
      </c>
      <c r="G2" s="18">
        <f t="shared" ref="G2:G12" si="0">IF(B2=0,0,(E2+F2)/B2)</f>
        <v>0</v>
      </c>
    </row>
    <row r="3" spans="1:7" ht="17">
      <c r="A3" s="17" t="s">
        <v>28</v>
      </c>
      <c r="B3" s="3">
        <f>COUNTIF(打卡表!$A$2:$A$133,$A3)</f>
        <v>12</v>
      </c>
      <c r="C3" s="3">
        <f>COUNTIFS(打卡表!$A$2:$A$133,$A3,打卡表!$E$2:$E$133,"未开始")</f>
        <v>12</v>
      </c>
      <c r="D3" s="3">
        <f>COUNTIFS(打卡表!$A$2:$A$133,$A3,打卡表!$E$2:$E$133,"眼熟")</f>
        <v>0</v>
      </c>
      <c r="E3" s="3">
        <f>COUNTIFS(打卡表!$A$2:$A$133,$A3,打卡表!$E$2:$E$133,"能讲框架")</f>
        <v>0</v>
      </c>
      <c r="F3" s="3">
        <f>COUNTIFS(打卡表!$A$2:$A$133,$A3,打卡表!$E$2:$E$133,"能扛追问")</f>
        <v>0</v>
      </c>
      <c r="G3" s="18">
        <f t="shared" si="0"/>
        <v>0</v>
      </c>
    </row>
    <row r="4" spans="1:7" ht="17">
      <c r="A4" s="6" t="s">
        <v>42</v>
      </c>
      <c r="B4" s="3">
        <f>COUNTIF(打卡表!$A$2:$A$133,$A4)</f>
        <v>16</v>
      </c>
      <c r="C4" s="3">
        <f>COUNTIFS(打卡表!$A$2:$A$133,$A4,打卡表!$E$2:$E$133,"未开始")</f>
        <v>16</v>
      </c>
      <c r="D4" s="3">
        <f>COUNTIFS(打卡表!$A$2:$A$133,$A4,打卡表!$E$2:$E$133,"眼熟")</f>
        <v>0</v>
      </c>
      <c r="E4" s="3">
        <f>COUNTIFS(打卡表!$A$2:$A$133,$A4,打卡表!$E$2:$E$133,"能讲框架")</f>
        <v>0</v>
      </c>
      <c r="F4" s="3">
        <f>COUNTIFS(打卡表!$A$2:$A$133,$A4,打卡表!$E$2:$E$133,"能扛追问")</f>
        <v>0</v>
      </c>
      <c r="G4" s="18">
        <f t="shared" si="0"/>
        <v>0</v>
      </c>
    </row>
    <row r="5" spans="1:7" ht="17">
      <c r="A5" s="6" t="s">
        <v>61</v>
      </c>
      <c r="B5" s="3">
        <f>COUNTIF(打卡表!$A$2:$A$133,$A5)</f>
        <v>13</v>
      </c>
      <c r="C5" s="3">
        <f>COUNTIFS(打卡表!$A$2:$A$133,$A5,打卡表!$E$2:$E$133,"未开始")</f>
        <v>13</v>
      </c>
      <c r="D5" s="3">
        <f>COUNTIFS(打卡表!$A$2:$A$133,$A5,打卡表!$E$2:$E$133,"眼熟")</f>
        <v>0</v>
      </c>
      <c r="E5" s="3">
        <f>COUNTIFS(打卡表!$A$2:$A$133,$A5,打卡表!$E$2:$E$133,"能讲框架")</f>
        <v>0</v>
      </c>
      <c r="F5" s="3">
        <f>COUNTIFS(打卡表!$A$2:$A$133,$A5,打卡表!$E$2:$E$133,"能扛追问")</f>
        <v>0</v>
      </c>
      <c r="G5" s="18">
        <f t="shared" si="0"/>
        <v>0</v>
      </c>
    </row>
    <row r="6" spans="1:7" ht="17">
      <c r="A6" s="6" t="s">
        <v>76</v>
      </c>
      <c r="B6" s="3">
        <f>COUNTIF(打卡表!$A$2:$A$133,$A6)</f>
        <v>11</v>
      </c>
      <c r="C6" s="3">
        <f>COUNTIFS(打卡表!$A$2:$A$133,$A6,打卡表!$E$2:$E$133,"未开始")</f>
        <v>11</v>
      </c>
      <c r="D6" s="3">
        <f>COUNTIFS(打卡表!$A$2:$A$133,$A6,打卡表!$E$2:$E$133,"眼熟")</f>
        <v>0</v>
      </c>
      <c r="E6" s="3">
        <f>COUNTIFS(打卡表!$A$2:$A$133,$A6,打卡表!$E$2:$E$133,"能讲框架")</f>
        <v>0</v>
      </c>
      <c r="F6" s="3">
        <f>COUNTIFS(打卡表!$A$2:$A$133,$A6,打卡表!$E$2:$E$133,"能扛追问")</f>
        <v>0</v>
      </c>
      <c r="G6" s="18">
        <f t="shared" si="0"/>
        <v>0</v>
      </c>
    </row>
    <row r="7" spans="1:7" ht="17">
      <c r="A7" s="17" t="s">
        <v>89</v>
      </c>
      <c r="B7" s="3">
        <f>COUNTIF(打卡表!$A$2:$A$133,$A7)</f>
        <v>15</v>
      </c>
      <c r="C7" s="3">
        <f>COUNTIFS(打卡表!$A$2:$A$133,$A7,打卡表!$E$2:$E$133,"未开始")</f>
        <v>15</v>
      </c>
      <c r="D7" s="3">
        <f>COUNTIFS(打卡表!$A$2:$A$133,$A7,打卡表!$E$2:$E$133,"眼熟")</f>
        <v>0</v>
      </c>
      <c r="E7" s="3">
        <f>COUNTIFS(打卡表!$A$2:$A$133,$A7,打卡表!$E$2:$E$133,"能讲框架")</f>
        <v>0</v>
      </c>
      <c r="F7" s="3">
        <f>COUNTIFS(打卡表!$A$2:$A$133,$A7,打卡表!$E$2:$E$133,"能扛追问")</f>
        <v>0</v>
      </c>
      <c r="G7" s="18">
        <f t="shared" si="0"/>
        <v>0</v>
      </c>
    </row>
    <row r="8" spans="1:7" ht="17">
      <c r="A8" s="6" t="s">
        <v>107</v>
      </c>
      <c r="B8" s="3">
        <f>COUNTIF(打卡表!$A$2:$A$133,$A8)</f>
        <v>14</v>
      </c>
      <c r="C8" s="3">
        <f>COUNTIFS(打卡表!$A$2:$A$133,$A8,打卡表!$E$2:$E$133,"未开始")</f>
        <v>14</v>
      </c>
      <c r="D8" s="3">
        <f>COUNTIFS(打卡表!$A$2:$A$133,$A8,打卡表!$E$2:$E$133,"眼熟")</f>
        <v>0</v>
      </c>
      <c r="E8" s="3">
        <f>COUNTIFS(打卡表!$A$2:$A$133,$A8,打卡表!$E$2:$E$133,"能讲框架")</f>
        <v>0</v>
      </c>
      <c r="F8" s="3">
        <f>COUNTIFS(打卡表!$A$2:$A$133,$A8,打卡表!$E$2:$E$133,"能扛追问")</f>
        <v>0</v>
      </c>
      <c r="G8" s="18">
        <f t="shared" si="0"/>
        <v>0</v>
      </c>
    </row>
    <row r="9" spans="1:7" ht="17">
      <c r="A9" s="17" t="s">
        <v>123</v>
      </c>
      <c r="B9" s="3">
        <f>COUNTIF(打卡表!$A$2:$A$133,$A9)</f>
        <v>10</v>
      </c>
      <c r="C9" s="3">
        <f>COUNTIFS(打卡表!$A$2:$A$133,$A9,打卡表!$E$2:$E$133,"未开始")</f>
        <v>10</v>
      </c>
      <c r="D9" s="3">
        <f>COUNTIFS(打卡表!$A$2:$A$133,$A9,打卡表!$E$2:$E$133,"眼熟")</f>
        <v>0</v>
      </c>
      <c r="E9" s="3">
        <f>COUNTIFS(打卡表!$A$2:$A$133,$A9,打卡表!$E$2:$E$133,"能讲框架")</f>
        <v>0</v>
      </c>
      <c r="F9" s="3">
        <f>COUNTIFS(打卡表!$A$2:$A$133,$A9,打卡表!$E$2:$E$133,"能扛追问")</f>
        <v>0</v>
      </c>
      <c r="G9" s="18">
        <f t="shared" si="0"/>
        <v>0</v>
      </c>
    </row>
    <row r="10" spans="1:7" ht="17">
      <c r="A10" s="17" t="s">
        <v>135</v>
      </c>
      <c r="B10" s="3">
        <f>COUNTIF(打卡表!$A$2:$A$133,$A10)</f>
        <v>14</v>
      </c>
      <c r="C10" s="3">
        <f>COUNTIFS(打卡表!$A$2:$A$133,$A10,打卡表!$E$2:$E$133,"未开始")</f>
        <v>14</v>
      </c>
      <c r="D10" s="3">
        <f>COUNTIFS(打卡表!$A$2:$A$133,$A10,打卡表!$E$2:$E$133,"眼熟")</f>
        <v>0</v>
      </c>
      <c r="E10" s="3">
        <f>COUNTIFS(打卡表!$A$2:$A$133,$A10,打卡表!$E$2:$E$133,"能讲框架")</f>
        <v>0</v>
      </c>
      <c r="F10" s="3">
        <f>COUNTIFS(打卡表!$A$2:$A$133,$A10,打卡表!$E$2:$E$133,"能扛追问")</f>
        <v>0</v>
      </c>
      <c r="G10" s="18">
        <f t="shared" si="0"/>
        <v>0</v>
      </c>
    </row>
    <row r="11" spans="1:7" ht="17">
      <c r="A11" s="6" t="s">
        <v>152</v>
      </c>
      <c r="B11" s="3">
        <f>COUNTIF(打卡表!$A$2:$A$133,$A11)</f>
        <v>11</v>
      </c>
      <c r="C11" s="3">
        <f>COUNTIFS(打卡表!$A$2:$A$133,$A11,打卡表!$E$2:$E$133,"未开始")</f>
        <v>11</v>
      </c>
      <c r="D11" s="3">
        <f>COUNTIFS(打卡表!$A$2:$A$133,$A11,打卡表!$E$2:$E$133,"眼熟")</f>
        <v>0</v>
      </c>
      <c r="E11" s="3">
        <f>COUNTIFS(打卡表!$A$2:$A$133,$A11,打卡表!$E$2:$E$133,"能讲框架")</f>
        <v>0</v>
      </c>
      <c r="F11" s="3">
        <f>COUNTIFS(打卡表!$A$2:$A$133,$A11,打卡表!$E$2:$E$133,"能扛追问")</f>
        <v>0</v>
      </c>
      <c r="G11" s="18">
        <f t="shared" si="0"/>
        <v>0</v>
      </c>
    </row>
    <row r="12" spans="1:7" ht="17">
      <c r="A12" s="19" t="s">
        <v>170</v>
      </c>
      <c r="B12" s="20">
        <f>SUM(B2:B11)</f>
        <v>132</v>
      </c>
      <c r="C12" s="20">
        <f>SUM(C2:C11)</f>
        <v>132</v>
      </c>
      <c r="D12" s="20">
        <f>SUM(D2:D11)</f>
        <v>0</v>
      </c>
      <c r="E12" s="20">
        <f>SUM(E2:E11)</f>
        <v>0</v>
      </c>
      <c r="F12" s="20">
        <f>SUM(F2:F11)</f>
        <v>0</v>
      </c>
      <c r="G12" s="21">
        <f t="shared" si="0"/>
        <v>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baseColWidth="10" defaultColWidth="8.6640625" defaultRowHeight="15"/>
  <cols>
    <col min="1" max="1" width="14" customWidth="1"/>
    <col min="2" max="2" width="78" customWidth="1"/>
  </cols>
  <sheetData>
    <row r="1" spans="1:2" ht="21">
      <c r="A1" s="22" t="s">
        <v>171</v>
      </c>
    </row>
    <row r="3" spans="1:2" ht="17">
      <c r="A3" s="23" t="s">
        <v>172</v>
      </c>
      <c r="B3" s="24"/>
    </row>
    <row r="4" spans="1:2" ht="33">
      <c r="A4" s="25" t="s">
        <v>173</v>
      </c>
      <c r="B4" s="26" t="s">
        <v>174</v>
      </c>
    </row>
    <row r="5" spans="1:2" ht="30">
      <c r="A5" s="25" t="s">
        <v>175</v>
      </c>
      <c r="B5" s="26" t="s">
        <v>176</v>
      </c>
    </row>
    <row r="6" spans="1:2" ht="18">
      <c r="A6" s="25" t="s">
        <v>177</v>
      </c>
      <c r="B6" s="26" t="s">
        <v>178</v>
      </c>
    </row>
    <row r="7" spans="1:2" ht="18">
      <c r="A7" s="25" t="s">
        <v>179</v>
      </c>
      <c r="B7" s="26" t="s">
        <v>180</v>
      </c>
    </row>
    <row r="8" spans="1:2" ht="17">
      <c r="A8" s="25" t="s">
        <v>181</v>
      </c>
      <c r="B8" s="26" t="s">
        <v>182</v>
      </c>
    </row>
    <row r="9" spans="1:2">
      <c r="A9" s="23"/>
      <c r="B9" s="26"/>
    </row>
    <row r="10" spans="1:2" ht="33">
      <c r="A10" s="23" t="s">
        <v>183</v>
      </c>
      <c r="B10" s="26" t="s">
        <v>184</v>
      </c>
    </row>
    <row r="11" spans="1:2" ht="18">
      <c r="A11" s="23" t="s">
        <v>185</v>
      </c>
      <c r="B11" s="26" t="s">
        <v>186</v>
      </c>
    </row>
    <row r="12" spans="1:2" ht="18">
      <c r="A12" s="23" t="s">
        <v>187</v>
      </c>
      <c r="B12" s="26" t="s">
        <v>188</v>
      </c>
    </row>
    <row r="13" spans="1:2" ht="18">
      <c r="A13" s="23" t="s">
        <v>189</v>
      </c>
      <c r="B13" s="24" t="s">
        <v>190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打卡表</vt:lpstr>
      <vt:lpstr>进度统计</vt:lpstr>
      <vt:lpstr>用法说明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Chu</cp:lastModifiedBy>
  <cp:revision>0</cp:revision>
  <dcterms:created xsi:type="dcterms:W3CDTF">2026-06-08T14:39:14Z</dcterms:created>
  <dcterms:modified xsi:type="dcterms:W3CDTF">2026-06-09T07:11:13Z</dcterms:modified>
  <dc:language>en-US</dc:language>
</cp:coreProperties>
</file>